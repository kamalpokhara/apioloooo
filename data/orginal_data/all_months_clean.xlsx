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ude\Desktop\SATRI_DA_ML_july\data\orginal_data\"/>
    </mc:Choice>
  </mc:AlternateContent>
  <xr:revisionPtr revIDLastSave="0" documentId="13_ncr:1_{2F72A4CE-3C1B-4046-9F8E-8E7778A98E00}" xr6:coauthVersionLast="47" xr6:coauthVersionMax="47" xr10:uidLastSave="{00000000-0000-0000-0000-000000000000}"/>
  <bookViews>
    <workbookView xWindow="-108" yWindow="-108" windowWidth="23256" windowHeight="12456" xr2:uid="{EBE46675-055D-47E2-B560-945A1E1420AA}"/>
  </bookViews>
  <sheets>
    <sheet name="all_months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" i="1" l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14" i="1"/>
  <c r="Q15" i="1"/>
  <c r="Q16" i="1"/>
  <c r="Q18" i="1"/>
  <c r="Q17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" i="1"/>
</calcChain>
</file>

<file path=xl/sharedStrings.xml><?xml version="1.0" encoding="utf-8"?>
<sst xmlns="http://schemas.openxmlformats.org/spreadsheetml/2006/main" count="4046" uniqueCount="169">
  <si>
    <t>Product_Name</t>
  </si>
  <si>
    <t>Category</t>
  </si>
  <si>
    <t>bs_year</t>
  </si>
  <si>
    <t>bs_month</t>
  </si>
  <si>
    <t>month_idx</t>
  </si>
  <si>
    <t>month_name</t>
  </si>
  <si>
    <t>Volume</t>
  </si>
  <si>
    <t>Min_Price</t>
  </si>
  <si>
    <t>Max_Price</t>
  </si>
  <si>
    <t>Avg_Price</t>
  </si>
  <si>
    <t>Unit</t>
  </si>
  <si>
    <t>unit_canonical</t>
  </si>
  <si>
    <t>unit_changed</t>
  </si>
  <si>
    <t>Total_Amount</t>
  </si>
  <si>
    <t>TOTAL_sources</t>
  </si>
  <si>
    <t>reconciliation_gap</t>
  </si>
  <si>
    <t>import_share</t>
  </si>
  <si>
    <t>n_months_present</t>
  </si>
  <si>
    <t>is_balanced</t>
  </si>
  <si>
    <t>Baglung</t>
  </si>
  <si>
    <t>Bara</t>
  </si>
  <si>
    <t>Beni</t>
  </si>
  <si>
    <t>Bhutan</t>
  </si>
  <si>
    <t>Birgunj</t>
  </si>
  <si>
    <t>China</t>
  </si>
  <si>
    <t>Dang</t>
  </si>
  <si>
    <t>Dhading</t>
  </si>
  <si>
    <t>Gorkha</t>
  </si>
  <si>
    <t>Hetauda</t>
  </si>
  <si>
    <t>India</t>
  </si>
  <si>
    <t>Jhapa</t>
  </si>
  <si>
    <t>Kathmandu</t>
  </si>
  <si>
    <t>Kevray</t>
  </si>
  <si>
    <t>Lahan</t>
  </si>
  <si>
    <t>Lamjung</t>
  </si>
  <si>
    <t>Local</t>
  </si>
  <si>
    <t>Marpha</t>
  </si>
  <si>
    <t>Mugu</t>
  </si>
  <si>
    <t>Mustang</t>
  </si>
  <si>
    <t>Myagdi</t>
  </si>
  <si>
    <t>Naew</t>
  </si>
  <si>
    <t>Narayangadh</t>
  </si>
  <si>
    <t>Nawalparasi</t>
  </si>
  <si>
    <t>Nuwakot</t>
  </si>
  <si>
    <t>Palpa</t>
  </si>
  <si>
    <t>Parbat</t>
  </si>
  <si>
    <t>Rolpa</t>
  </si>
  <si>
    <t>Rukum</t>
  </si>
  <si>
    <t>Rupandehi</t>
  </si>
  <si>
    <t>Salyan</t>
  </si>
  <si>
    <t>Sarlahi</t>
  </si>
  <si>
    <t>Sindhuli</t>
  </si>
  <si>
    <t>Sunsari</t>
  </si>
  <si>
    <t>Syangja</t>
  </si>
  <si>
    <t>Tanahu</t>
  </si>
  <si>
    <t>Akabary_Chilly</t>
  </si>
  <si>
    <t>Vegetable</t>
  </si>
  <si>
    <t>poush</t>
  </si>
  <si>
    <t>kg</t>
  </si>
  <si>
    <t>magh</t>
  </si>
  <si>
    <t>falgun</t>
  </si>
  <si>
    <t>chaitra</t>
  </si>
  <si>
    <t>baishakh</t>
  </si>
  <si>
    <t>Amala</t>
  </si>
  <si>
    <t>Fruit</t>
  </si>
  <si>
    <t>bhadra</t>
  </si>
  <si>
    <t>ashwin</t>
  </si>
  <si>
    <t>kartik</t>
  </si>
  <si>
    <t>mangsir</t>
  </si>
  <si>
    <t>Apple</t>
  </si>
  <si>
    <t>shrawan</t>
  </si>
  <si>
    <t>Apple_Fuji</t>
  </si>
  <si>
    <t>Arum</t>
  </si>
  <si>
    <t>Avocado</t>
  </si>
  <si>
    <t>Bakula</t>
  </si>
  <si>
    <t>Bambooshoot</t>
  </si>
  <si>
    <t>Banana</t>
  </si>
  <si>
    <t>dozen</t>
  </si>
  <si>
    <t>Banana_Green</t>
  </si>
  <si>
    <t>Barela</t>
  </si>
  <si>
    <t>Bayar</t>
  </si>
  <si>
    <t>Beat_Chukunder</t>
  </si>
  <si>
    <t>Bitter_Gourd</t>
  </si>
  <si>
    <t>Bottle_Gourd</t>
  </si>
  <si>
    <t>Brinjal_Gland</t>
  </si>
  <si>
    <t>Brinjal_Long</t>
  </si>
  <si>
    <t>mutha</t>
  </si>
  <si>
    <t>Broad_Leaf_Mustard</t>
  </si>
  <si>
    <t>Brocauli</t>
  </si>
  <si>
    <t>Broccoli</t>
  </si>
  <si>
    <t>Cabbage</t>
  </si>
  <si>
    <t>Cabbage_Red</t>
  </si>
  <si>
    <t>Carrot</t>
  </si>
  <si>
    <t>Cauliflower_Hill</t>
  </si>
  <si>
    <t>Chilly_Green</t>
  </si>
  <si>
    <t>Christophine</t>
  </si>
  <si>
    <t>Coconut</t>
  </si>
  <si>
    <t>nos</t>
  </si>
  <si>
    <t>Coriander_Green</t>
  </si>
  <si>
    <t>Cow_Pea</t>
  </si>
  <si>
    <t>Cress_Leaf</t>
  </si>
  <si>
    <t>Cucumber</t>
  </si>
  <si>
    <t>Dragonfruits</t>
  </si>
  <si>
    <t>Fenugreek_Leaf</t>
  </si>
  <si>
    <t>French_Bean</t>
  </si>
  <si>
    <t>Garlic_Dry</t>
  </si>
  <si>
    <t>Garlic_Green</t>
  </si>
  <si>
    <t>Ginger</t>
  </si>
  <si>
    <t>Grapes</t>
  </si>
  <si>
    <t>Green_Peas</t>
  </si>
  <si>
    <t>Green_Ve</t>
  </si>
  <si>
    <t>Guava</t>
  </si>
  <si>
    <t>Gundruk</t>
  </si>
  <si>
    <t>Haluwabed</t>
  </si>
  <si>
    <t>Jack_Fruit</t>
  </si>
  <si>
    <t>Khasa_Garlic_Dry</t>
  </si>
  <si>
    <t>Kiwi</t>
  </si>
  <si>
    <t>Kurilo</t>
  </si>
  <si>
    <t>Lemon</t>
  </si>
  <si>
    <t>Malta</t>
  </si>
  <si>
    <t>Mango</t>
  </si>
  <si>
    <t>Mango_Green</t>
  </si>
  <si>
    <t>Mombin</t>
  </si>
  <si>
    <t>Mushroom</t>
  </si>
  <si>
    <t>Okara</t>
  </si>
  <si>
    <t>Onion_Dry</t>
  </si>
  <si>
    <t>Onion_Green</t>
  </si>
  <si>
    <t>Orange</t>
  </si>
  <si>
    <t>Orange_Sweet</t>
  </si>
  <si>
    <t>Papaya</t>
  </si>
  <si>
    <t>Peanuts</t>
  </si>
  <si>
    <t>Pear</t>
  </si>
  <si>
    <t>Pear_China</t>
  </si>
  <si>
    <t>Pine_Apple</t>
  </si>
  <si>
    <t>Pointed_Gourd</t>
  </si>
  <si>
    <t>Pomegranate</t>
  </si>
  <si>
    <t>Potato</t>
  </si>
  <si>
    <t>Potato_Blue</t>
  </si>
  <si>
    <t>Potato_R</t>
  </si>
  <si>
    <t>Potato_W</t>
  </si>
  <si>
    <t>Pumpkin</t>
  </si>
  <si>
    <t>Pumpkin_Green</t>
  </si>
  <si>
    <t>Pumpkin_Leaf</t>
  </si>
  <si>
    <t>Radish_Red</t>
  </si>
  <si>
    <t>Radish_White</t>
  </si>
  <si>
    <t>Rajma</t>
  </si>
  <si>
    <t>Red_Grapes</t>
  </si>
  <si>
    <t>Sajiwan</t>
  </si>
  <si>
    <t>Sarifa</t>
  </si>
  <si>
    <t>Smooth_Gourd</t>
  </si>
  <si>
    <t>Snake_Gourd</t>
  </si>
  <si>
    <t>Soya_Bean_Green</t>
  </si>
  <si>
    <t>Spinach_Leaf</t>
  </si>
  <si>
    <t>Sponge_Gourd</t>
  </si>
  <si>
    <t>Sponge_Groud</t>
  </si>
  <si>
    <t>Squash</t>
  </si>
  <si>
    <t>Strawberry</t>
  </si>
  <si>
    <t>Sugarcane</t>
  </si>
  <si>
    <t>Sweet_Pepper</t>
  </si>
  <si>
    <t>Sweet_Potato</t>
  </si>
  <si>
    <t>Sword_Bean</t>
  </si>
  <si>
    <t>Tomato</t>
  </si>
  <si>
    <t>Tomato_Big</t>
  </si>
  <si>
    <t>Tomato_Small</t>
  </si>
  <si>
    <t>Turnip</t>
  </si>
  <si>
    <t>Walnut</t>
  </si>
  <si>
    <t>Watermelon</t>
  </si>
  <si>
    <t>Yam</t>
  </si>
  <si>
    <t>Volume_Equals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</si>
</sst>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92C3-B68A-4EAE-88A8-E706086A97CB}">
  <dimension ref="A1:BD799"/>
  <sheetViews>
    <sheetView tabSelected="1" zoomScale="110" workbookViewId="0">
      <pane ySplit="1" topLeftCell="A263" activePane="bottomLeft" state="frozen"/>
      <selection pane="bottomLeft" activeCell="H286" sqref="H286"/>
    </sheetView>
  </sheetViews>
  <sheetFormatPr defaultRowHeight="14.4" x14ac:dyDescent="0.3"/>
  <cols>
    <col min="1" max="1" width="18.44140625" bestFit="1" customWidth="1"/>
    <col min="2" max="2" width="9.109375" bestFit="1" customWidth="1"/>
    <col min="3" max="3" width="7.33203125" bestFit="1" customWidth="1"/>
    <col min="4" max="4" width="9.109375" bestFit="1" customWidth="1"/>
    <col min="5" max="5" width="9.6640625" bestFit="1" customWidth="1"/>
    <col min="6" max="6" width="11.88671875" bestFit="1" customWidth="1"/>
    <col min="7" max="7" width="8" bestFit="1" customWidth="1"/>
    <col min="8" max="8" width="9.109375" bestFit="1" customWidth="1"/>
    <col min="9" max="9" width="9.5546875" bestFit="1" customWidth="1"/>
    <col min="11" max="11" width="6.21875" bestFit="1" customWidth="1"/>
    <col min="12" max="12" width="12.88671875" bestFit="1" customWidth="1"/>
    <col min="13" max="13" width="11.88671875" bestFit="1" customWidth="1"/>
    <col min="14" max="14" width="12.6640625" bestFit="1" customWidth="1"/>
    <col min="15" max="15" width="13.77734375" customWidth="1"/>
    <col min="16" max="16" width="13.6640625" bestFit="1" customWidth="1"/>
    <col min="17" max="17" width="16.109375" bestFit="1" customWidth="1"/>
    <col min="18" max="18" width="12" bestFit="1" customWidth="1"/>
    <col min="19" max="19" width="16.33203125" bestFit="1" customWidth="1"/>
    <col min="20" max="20" width="10.5546875" bestFit="1" customWidth="1"/>
    <col min="21" max="21" width="7.33203125" bestFit="1" customWidth="1"/>
    <col min="22" max="22" width="7" bestFit="1" customWidth="1"/>
    <col min="23" max="23" width="6" bestFit="1" customWidth="1"/>
    <col min="24" max="24" width="6.77734375" bestFit="1" customWidth="1"/>
    <col min="25" max="25" width="6.5546875" bestFit="1" customWidth="1"/>
    <col min="26" max="26" width="7" bestFit="1" customWidth="1"/>
    <col min="27" max="27" width="6" bestFit="1" customWidth="1"/>
    <col min="28" max="28" width="7.5546875" bestFit="1" customWidth="1"/>
    <col min="29" max="29" width="6.88671875" bestFit="1" customWidth="1"/>
    <col min="30" max="30" width="7.88671875" bestFit="1" customWidth="1"/>
    <col min="31" max="31" width="8" bestFit="1" customWidth="1"/>
    <col min="32" max="32" width="7" bestFit="1" customWidth="1"/>
    <col min="33" max="33" width="10.21875" bestFit="1" customWidth="1"/>
    <col min="34" max="34" width="6.44140625" bestFit="1" customWidth="1"/>
    <col min="35" max="35" width="6" bestFit="1" customWidth="1"/>
    <col min="36" max="36" width="7.77734375" bestFit="1" customWidth="1"/>
    <col min="37" max="37" width="7" bestFit="1" customWidth="1"/>
    <col min="38" max="38" width="7.33203125" bestFit="1" customWidth="1"/>
    <col min="39" max="39" width="6" bestFit="1" customWidth="1"/>
    <col min="40" max="40" width="8" bestFit="1" customWidth="1"/>
    <col min="41" max="41" width="7" bestFit="1" customWidth="1"/>
    <col min="42" max="42" width="5.77734375" bestFit="1" customWidth="1"/>
    <col min="43" max="43" width="11.77734375" bestFit="1" customWidth="1"/>
    <col min="44" max="44" width="11.109375" bestFit="1" customWidth="1"/>
    <col min="45" max="45" width="8.44140625" bestFit="1" customWidth="1"/>
    <col min="46" max="46" width="5.44140625" bestFit="1" customWidth="1"/>
    <col min="47" max="47" width="6.33203125" bestFit="1" customWidth="1"/>
    <col min="48" max="48" width="7" bestFit="1" customWidth="1"/>
    <col min="49" max="49" width="6.5546875" bestFit="1" customWidth="1"/>
    <col min="50" max="50" width="9.5546875" bestFit="1" customWidth="1"/>
    <col min="51" max="51" width="6.21875" bestFit="1" customWidth="1"/>
    <col min="52" max="52" width="6.44140625" bestFit="1" customWidth="1"/>
    <col min="53" max="53" width="7.21875" bestFit="1" customWidth="1"/>
    <col min="54" max="54" width="7" bestFit="1" customWidth="1"/>
    <col min="55" max="55" width="7.109375" bestFit="1" customWidth="1"/>
    <col min="56" max="56" width="7" bestFit="1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168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 t="s">
        <v>56</v>
      </c>
      <c r="C2">
        <v>2082</v>
      </c>
      <c r="D2">
        <v>9</v>
      </c>
      <c r="E2">
        <v>6</v>
      </c>
      <c r="F2" t="s">
        <v>57</v>
      </c>
      <c r="G2">
        <v>880</v>
      </c>
      <c r="H2">
        <v>400</v>
      </c>
      <c r="I2">
        <v>600</v>
      </c>
      <c r="J2">
        <v>500</v>
      </c>
      <c r="K2" t="s">
        <v>58</v>
      </c>
      <c r="L2" t="s">
        <v>58</v>
      </c>
      <c r="M2" t="b">
        <v>0</v>
      </c>
      <c r="N2">
        <v>440000</v>
      </c>
      <c r="O2" t="b">
        <f t="shared" ref="O2:O65" si="0">IF(P2=G2,TRUE,FALSE)</f>
        <v>1</v>
      </c>
      <c r="P2">
        <v>880</v>
      </c>
      <c r="Q2">
        <v>0</v>
      </c>
      <c r="R2">
        <v>0</v>
      </c>
      <c r="S2">
        <v>5</v>
      </c>
      <c r="T2" t="b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240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640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3">
      <c r="A3" t="s">
        <v>55</v>
      </c>
      <c r="B3" t="s">
        <v>56</v>
      </c>
      <c r="C3">
        <v>2082</v>
      </c>
      <c r="D3">
        <v>10</v>
      </c>
      <c r="E3">
        <v>7</v>
      </c>
      <c r="F3" t="s">
        <v>59</v>
      </c>
      <c r="G3">
        <v>540</v>
      </c>
      <c r="H3">
        <v>300</v>
      </c>
      <c r="I3">
        <v>900</v>
      </c>
      <c r="J3">
        <v>628.57000000000005</v>
      </c>
      <c r="K3" t="s">
        <v>58</v>
      </c>
      <c r="L3" t="s">
        <v>58</v>
      </c>
      <c r="M3" t="b">
        <v>0</v>
      </c>
      <c r="N3">
        <v>339427.8</v>
      </c>
      <c r="O3" t="b">
        <f t="shared" si="0"/>
        <v>1</v>
      </c>
      <c r="P3">
        <v>540</v>
      </c>
      <c r="Q3">
        <v>0</v>
      </c>
      <c r="R3">
        <v>0</v>
      </c>
      <c r="S3">
        <v>5</v>
      </c>
      <c r="T3" t="b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540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3">
      <c r="A4" t="s">
        <v>55</v>
      </c>
      <c r="B4" t="s">
        <v>56</v>
      </c>
      <c r="C4">
        <v>2082</v>
      </c>
      <c r="D4">
        <v>11</v>
      </c>
      <c r="E4">
        <v>8</v>
      </c>
      <c r="F4" t="s">
        <v>60</v>
      </c>
      <c r="G4">
        <v>0</v>
      </c>
      <c r="H4">
        <v>300</v>
      </c>
      <c r="I4">
        <v>800</v>
      </c>
      <c r="J4">
        <v>555.55999999999995</v>
      </c>
      <c r="K4" t="s">
        <v>58</v>
      </c>
      <c r="L4" t="s">
        <v>58</v>
      </c>
      <c r="M4" t="b">
        <v>0</v>
      </c>
      <c r="N4">
        <v>0</v>
      </c>
      <c r="O4" t="b">
        <f t="shared" si="0"/>
        <v>1</v>
      </c>
      <c r="P4">
        <v>0</v>
      </c>
      <c r="Q4">
        <v>0</v>
      </c>
      <c r="S4">
        <v>5</v>
      </c>
      <c r="T4" t="b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">
      <c r="A5" t="s">
        <v>55</v>
      </c>
      <c r="B5" t="s">
        <v>56</v>
      </c>
      <c r="C5">
        <v>2082</v>
      </c>
      <c r="D5">
        <v>12</v>
      </c>
      <c r="E5">
        <v>9</v>
      </c>
      <c r="F5" t="s">
        <v>61</v>
      </c>
      <c r="G5">
        <v>5920</v>
      </c>
      <c r="H5">
        <v>300</v>
      </c>
      <c r="I5">
        <v>500</v>
      </c>
      <c r="J5">
        <v>439.77</v>
      </c>
      <c r="K5" t="s">
        <v>58</v>
      </c>
      <c r="L5" t="s">
        <v>58</v>
      </c>
      <c r="M5" t="b">
        <v>0</v>
      </c>
      <c r="N5">
        <v>2603438.4</v>
      </c>
      <c r="O5" t="b">
        <f t="shared" si="0"/>
        <v>1</v>
      </c>
      <c r="P5">
        <v>5920</v>
      </c>
      <c r="Q5">
        <v>0</v>
      </c>
      <c r="R5">
        <v>0.88851351351351304</v>
      </c>
      <c r="S5">
        <v>5</v>
      </c>
      <c r="T5" t="b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5260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660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">
      <c r="A6" t="s">
        <v>55</v>
      </c>
      <c r="B6" t="s">
        <v>56</v>
      </c>
      <c r="C6">
        <v>2083</v>
      </c>
      <c r="D6">
        <v>1</v>
      </c>
      <c r="E6">
        <v>10</v>
      </c>
      <c r="F6" t="s">
        <v>62</v>
      </c>
      <c r="G6">
        <v>13770</v>
      </c>
      <c r="H6">
        <v>400</v>
      </c>
      <c r="I6">
        <v>500</v>
      </c>
      <c r="J6">
        <v>450</v>
      </c>
      <c r="K6" t="s">
        <v>58</v>
      </c>
      <c r="L6" t="s">
        <v>58</v>
      </c>
      <c r="M6" t="b">
        <v>0</v>
      </c>
      <c r="N6">
        <v>6196500</v>
      </c>
      <c r="O6" t="b">
        <f t="shared" si="0"/>
        <v>1</v>
      </c>
      <c r="P6">
        <v>13770</v>
      </c>
      <c r="Q6">
        <v>0</v>
      </c>
      <c r="R6">
        <v>0.28830791575889603</v>
      </c>
      <c r="S6">
        <v>5</v>
      </c>
      <c r="T6" t="b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3970</v>
      </c>
      <c r="AF6">
        <v>0</v>
      </c>
      <c r="AG6">
        <v>0</v>
      </c>
      <c r="AH6">
        <v>0</v>
      </c>
      <c r="AI6">
        <v>0</v>
      </c>
      <c r="AJ6">
        <v>1230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8570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3">
      <c r="A7" t="s">
        <v>63</v>
      </c>
      <c r="B7" t="s">
        <v>64</v>
      </c>
      <c r="C7">
        <v>2082</v>
      </c>
      <c r="D7">
        <v>5</v>
      </c>
      <c r="E7">
        <v>2</v>
      </c>
      <c r="F7" t="s">
        <v>65</v>
      </c>
      <c r="G7">
        <v>7190</v>
      </c>
      <c r="H7">
        <v>0</v>
      </c>
      <c r="I7">
        <v>0</v>
      </c>
      <c r="J7">
        <v>120</v>
      </c>
      <c r="K7" t="s">
        <v>58</v>
      </c>
      <c r="L7" t="s">
        <v>58</v>
      </c>
      <c r="M7" t="b">
        <v>0</v>
      </c>
      <c r="N7">
        <v>862800</v>
      </c>
      <c r="O7" t="b">
        <f t="shared" si="0"/>
        <v>1</v>
      </c>
      <c r="P7">
        <v>7190</v>
      </c>
      <c r="Q7">
        <v>0</v>
      </c>
      <c r="R7">
        <v>1</v>
      </c>
      <c r="S7">
        <v>9</v>
      </c>
      <c r="T7" t="b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7190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3">
      <c r="A8" t="s">
        <v>63</v>
      </c>
      <c r="B8" t="s">
        <v>64</v>
      </c>
      <c r="C8">
        <v>2082</v>
      </c>
      <c r="D8">
        <v>6</v>
      </c>
      <c r="E8">
        <v>3</v>
      </c>
      <c r="F8" t="s">
        <v>66</v>
      </c>
      <c r="G8">
        <v>21565</v>
      </c>
      <c r="H8">
        <v>100</v>
      </c>
      <c r="I8">
        <v>120</v>
      </c>
      <c r="J8">
        <v>111.25</v>
      </c>
      <c r="K8" t="s">
        <v>58</v>
      </c>
      <c r="L8" t="s">
        <v>58</v>
      </c>
      <c r="M8" t="b">
        <v>0</v>
      </c>
      <c r="N8">
        <v>2399106.25</v>
      </c>
      <c r="O8" t="b">
        <f t="shared" si="0"/>
        <v>1</v>
      </c>
      <c r="P8">
        <v>21565</v>
      </c>
      <c r="Q8">
        <v>0</v>
      </c>
      <c r="R8">
        <v>0.87108741015534397</v>
      </c>
      <c r="S8">
        <v>9</v>
      </c>
      <c r="T8" t="b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2780</v>
      </c>
      <c r="AC8">
        <v>0</v>
      </c>
      <c r="AD8">
        <v>0</v>
      </c>
      <c r="AE8">
        <v>18785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">
      <c r="A9" t="s">
        <v>63</v>
      </c>
      <c r="B9" t="s">
        <v>64</v>
      </c>
      <c r="C9">
        <v>2082</v>
      </c>
      <c r="D9">
        <v>7</v>
      </c>
      <c r="E9">
        <v>4</v>
      </c>
      <c r="F9" t="s">
        <v>67</v>
      </c>
      <c r="G9">
        <v>20415</v>
      </c>
      <c r="H9">
        <v>100</v>
      </c>
      <c r="I9">
        <v>120</v>
      </c>
      <c r="J9">
        <v>110</v>
      </c>
      <c r="K9" t="s">
        <v>58</v>
      </c>
      <c r="L9" t="s">
        <v>58</v>
      </c>
      <c r="M9" t="b">
        <v>0</v>
      </c>
      <c r="N9">
        <v>2245650</v>
      </c>
      <c r="O9" t="b">
        <f t="shared" si="0"/>
        <v>1</v>
      </c>
      <c r="P9">
        <v>20415</v>
      </c>
      <c r="Q9">
        <v>0</v>
      </c>
      <c r="R9">
        <v>0.84325251040901295</v>
      </c>
      <c r="S9">
        <v>9</v>
      </c>
      <c r="T9" t="b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2510</v>
      </c>
      <c r="AC9">
        <v>510</v>
      </c>
      <c r="AD9">
        <v>0</v>
      </c>
      <c r="AE9">
        <v>17215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180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3">
      <c r="A10" t="s">
        <v>63</v>
      </c>
      <c r="B10" t="s">
        <v>64</v>
      </c>
      <c r="C10">
        <v>2082</v>
      </c>
      <c r="D10">
        <v>8</v>
      </c>
      <c r="E10">
        <v>5</v>
      </c>
      <c r="F10" t="s">
        <v>68</v>
      </c>
      <c r="G10">
        <v>24940</v>
      </c>
      <c r="H10">
        <v>100</v>
      </c>
      <c r="I10">
        <v>120</v>
      </c>
      <c r="J10">
        <v>110</v>
      </c>
      <c r="K10" t="s">
        <v>58</v>
      </c>
      <c r="L10" t="s">
        <v>58</v>
      </c>
      <c r="M10" t="b">
        <v>0</v>
      </c>
      <c r="N10">
        <v>2743400</v>
      </c>
      <c r="O10" t="b">
        <f t="shared" si="0"/>
        <v>1</v>
      </c>
      <c r="P10">
        <v>24940</v>
      </c>
      <c r="Q10">
        <v>0</v>
      </c>
      <c r="R10">
        <v>0.90858059342421804</v>
      </c>
      <c r="S10">
        <v>9</v>
      </c>
      <c r="T10" t="b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1380</v>
      </c>
      <c r="AC10">
        <v>900</v>
      </c>
      <c r="AD10">
        <v>0</v>
      </c>
      <c r="AE10">
        <v>22660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3">
      <c r="A11" t="s">
        <v>63</v>
      </c>
      <c r="B11" t="s">
        <v>64</v>
      </c>
      <c r="C11">
        <v>2082</v>
      </c>
      <c r="D11">
        <v>9</v>
      </c>
      <c r="E11">
        <v>6</v>
      </c>
      <c r="F11" t="s">
        <v>57</v>
      </c>
      <c r="G11">
        <v>29125</v>
      </c>
      <c r="H11">
        <v>80</v>
      </c>
      <c r="I11">
        <v>100</v>
      </c>
      <c r="J11">
        <v>90</v>
      </c>
      <c r="K11" t="s">
        <v>58</v>
      </c>
      <c r="L11" t="s">
        <v>58</v>
      </c>
      <c r="M11" t="b">
        <v>0</v>
      </c>
      <c r="N11">
        <v>2621250</v>
      </c>
      <c r="O11" t="b">
        <f t="shared" si="0"/>
        <v>1</v>
      </c>
      <c r="P11">
        <v>29125</v>
      </c>
      <c r="Q11">
        <v>0</v>
      </c>
      <c r="R11">
        <v>0.98489270386266003</v>
      </c>
      <c r="S11">
        <v>9</v>
      </c>
      <c r="T11" t="b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440</v>
      </c>
      <c r="AD11">
        <v>0</v>
      </c>
      <c r="AE11">
        <v>28685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3">
      <c r="A12" t="s">
        <v>63</v>
      </c>
      <c r="B12" t="s">
        <v>64</v>
      </c>
      <c r="C12">
        <v>2082</v>
      </c>
      <c r="D12">
        <v>10</v>
      </c>
      <c r="E12">
        <v>7</v>
      </c>
      <c r="F12" t="s">
        <v>59</v>
      </c>
      <c r="G12">
        <v>15550</v>
      </c>
      <c r="H12">
        <v>80</v>
      </c>
      <c r="I12">
        <v>150</v>
      </c>
      <c r="J12">
        <v>93.14</v>
      </c>
      <c r="K12" t="s">
        <v>58</v>
      </c>
      <c r="L12" t="s">
        <v>58</v>
      </c>
      <c r="M12" t="b">
        <v>0</v>
      </c>
      <c r="N12">
        <v>1448327</v>
      </c>
      <c r="O12" t="b">
        <f t="shared" si="0"/>
        <v>1</v>
      </c>
      <c r="P12">
        <v>15550</v>
      </c>
      <c r="Q12">
        <v>0</v>
      </c>
      <c r="R12">
        <v>0.986495176848874</v>
      </c>
      <c r="S12">
        <v>9</v>
      </c>
      <c r="T12" t="b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210</v>
      </c>
      <c r="AD12">
        <v>0</v>
      </c>
      <c r="AE12">
        <v>15340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x14ac:dyDescent="0.3">
      <c r="A13" t="s">
        <v>63</v>
      </c>
      <c r="B13" t="s">
        <v>64</v>
      </c>
      <c r="C13">
        <v>2082</v>
      </c>
      <c r="D13">
        <v>11</v>
      </c>
      <c r="E13">
        <v>8</v>
      </c>
      <c r="F13" t="s">
        <v>60</v>
      </c>
      <c r="G13">
        <v>12730</v>
      </c>
      <c r="H13">
        <v>80</v>
      </c>
      <c r="I13">
        <v>150</v>
      </c>
      <c r="J13">
        <v>96.11</v>
      </c>
      <c r="K13" t="s">
        <v>58</v>
      </c>
      <c r="L13" t="s">
        <v>58</v>
      </c>
      <c r="M13" t="b">
        <v>0</v>
      </c>
      <c r="N13">
        <v>1223480.3</v>
      </c>
      <c r="O13" t="b">
        <f t="shared" si="0"/>
        <v>1</v>
      </c>
      <c r="P13">
        <v>12730</v>
      </c>
      <c r="Q13">
        <v>0</v>
      </c>
      <c r="R13">
        <v>1</v>
      </c>
      <c r="S13">
        <v>9</v>
      </c>
      <c r="T13" t="b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12730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3">
      <c r="A14" t="s">
        <v>63</v>
      </c>
      <c r="B14" t="s">
        <v>64</v>
      </c>
      <c r="C14">
        <v>2082</v>
      </c>
      <c r="D14">
        <v>12</v>
      </c>
      <c r="E14">
        <v>9</v>
      </c>
      <c r="F14" t="s">
        <v>61</v>
      </c>
      <c r="G14">
        <v>5010</v>
      </c>
      <c r="H14">
        <v>80</v>
      </c>
      <c r="I14">
        <v>150</v>
      </c>
      <c r="J14">
        <v>135</v>
      </c>
      <c r="K14" t="s">
        <v>58</v>
      </c>
      <c r="L14" t="s">
        <v>58</v>
      </c>
      <c r="M14" t="b">
        <v>0</v>
      </c>
      <c r="N14">
        <v>676350</v>
      </c>
      <c r="O14" t="b">
        <f t="shared" si="0"/>
        <v>1</v>
      </c>
      <c r="P14">
        <v>5010</v>
      </c>
      <c r="Q14">
        <f t="shared" ref="Q14:Q77" si="1">ABS(P14-G14)</f>
        <v>0</v>
      </c>
      <c r="R14">
        <v>1</v>
      </c>
      <c r="S14">
        <v>9</v>
      </c>
      <c r="T14" t="b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5010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3">
      <c r="A15" t="s">
        <v>63</v>
      </c>
      <c r="B15" t="s">
        <v>64</v>
      </c>
      <c r="C15">
        <v>2083</v>
      </c>
      <c r="D15">
        <v>1</v>
      </c>
      <c r="E15">
        <v>10</v>
      </c>
      <c r="F15" t="s">
        <v>62</v>
      </c>
      <c r="G15">
        <v>0</v>
      </c>
      <c r="H15">
        <v>140</v>
      </c>
      <c r="I15">
        <v>150</v>
      </c>
      <c r="J15">
        <v>145</v>
      </c>
      <c r="K15" t="s">
        <v>58</v>
      </c>
      <c r="L15" t="s">
        <v>58</v>
      </c>
      <c r="M15" t="b">
        <v>0</v>
      </c>
      <c r="N15">
        <v>0</v>
      </c>
      <c r="O15" t="b">
        <f t="shared" si="0"/>
        <v>1</v>
      </c>
      <c r="P15">
        <v>0</v>
      </c>
      <c r="Q15">
        <f t="shared" si="1"/>
        <v>0</v>
      </c>
      <c r="S15">
        <v>9</v>
      </c>
      <c r="T15" t="b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3">
      <c r="A16" t="s">
        <v>69</v>
      </c>
      <c r="B16" t="s">
        <v>64</v>
      </c>
      <c r="C16">
        <v>2082</v>
      </c>
      <c r="D16">
        <v>4</v>
      </c>
      <c r="E16">
        <v>1</v>
      </c>
      <c r="F16" t="s">
        <v>70</v>
      </c>
      <c r="G16">
        <v>679675</v>
      </c>
      <c r="H16">
        <v>130</v>
      </c>
      <c r="I16">
        <v>330</v>
      </c>
      <c r="J16">
        <v>192.4</v>
      </c>
      <c r="K16" t="s">
        <v>58</v>
      </c>
      <c r="L16" t="s">
        <v>58</v>
      </c>
      <c r="M16" t="b">
        <v>0</v>
      </c>
      <c r="N16">
        <v>130769470</v>
      </c>
      <c r="O16" t="b">
        <f t="shared" si="0"/>
        <v>1</v>
      </c>
      <c r="P16">
        <v>679675</v>
      </c>
      <c r="Q16">
        <f t="shared" si="1"/>
        <v>0</v>
      </c>
      <c r="R16">
        <v>0.97472321330047396</v>
      </c>
      <c r="S16">
        <v>10</v>
      </c>
      <c r="T16" t="b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303995</v>
      </c>
      <c r="AA16">
        <v>0</v>
      </c>
      <c r="AB16">
        <v>0</v>
      </c>
      <c r="AC16">
        <v>0</v>
      </c>
      <c r="AD16">
        <v>0</v>
      </c>
      <c r="AE16">
        <v>358500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17180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 spans="1:56" x14ac:dyDescent="0.3">
      <c r="A17" t="s">
        <v>69</v>
      </c>
      <c r="B17" t="s">
        <v>64</v>
      </c>
      <c r="C17">
        <v>2082</v>
      </c>
      <c r="D17">
        <v>5</v>
      </c>
      <c r="E17">
        <v>2</v>
      </c>
      <c r="F17" t="s">
        <v>65</v>
      </c>
      <c r="G17">
        <v>559832</v>
      </c>
      <c r="H17">
        <v>130</v>
      </c>
      <c r="I17">
        <v>330</v>
      </c>
      <c r="J17">
        <v>289.86</v>
      </c>
      <c r="K17" t="s">
        <v>58</v>
      </c>
      <c r="L17" t="s">
        <v>58</v>
      </c>
      <c r="M17" t="b">
        <v>0</v>
      </c>
      <c r="N17">
        <v>162272903.52000001</v>
      </c>
      <c r="O17" t="b">
        <f t="shared" si="0"/>
        <v>0</v>
      </c>
      <c r="P17">
        <v>531622</v>
      </c>
      <c r="Q17">
        <f t="shared" si="1"/>
        <v>28210</v>
      </c>
      <c r="R17">
        <v>0.90636203919326097</v>
      </c>
      <c r="S17">
        <v>10</v>
      </c>
      <c r="T17" t="b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166030</v>
      </c>
      <c r="AA17">
        <v>0</v>
      </c>
      <c r="AB17">
        <v>0</v>
      </c>
      <c r="AC17">
        <v>0</v>
      </c>
      <c r="AD17">
        <v>0</v>
      </c>
      <c r="AE17">
        <v>315812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16180</v>
      </c>
      <c r="AN17">
        <v>33600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3">
      <c r="A18" t="s">
        <v>69</v>
      </c>
      <c r="B18" t="s">
        <v>64</v>
      </c>
      <c r="C18">
        <v>2082</v>
      </c>
      <c r="D18">
        <v>6</v>
      </c>
      <c r="E18">
        <v>3</v>
      </c>
      <c r="F18" t="s">
        <v>66</v>
      </c>
      <c r="G18">
        <v>681942</v>
      </c>
      <c r="H18">
        <v>130</v>
      </c>
      <c r="I18">
        <v>330</v>
      </c>
      <c r="J18">
        <v>237.81</v>
      </c>
      <c r="K18" t="s">
        <v>58</v>
      </c>
      <c r="L18" t="s">
        <v>58</v>
      </c>
      <c r="M18" t="b">
        <v>0</v>
      </c>
      <c r="N18">
        <v>161492490.40000001</v>
      </c>
      <c r="O18" t="b">
        <f t="shared" si="0"/>
        <v>0</v>
      </c>
      <c r="P18">
        <v>679082</v>
      </c>
      <c r="Q18">
        <f t="shared" si="1"/>
        <v>2860</v>
      </c>
      <c r="R18">
        <v>0.32190516020156601</v>
      </c>
      <c r="S18">
        <v>10</v>
      </c>
      <c r="T18" t="b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168330</v>
      </c>
      <c r="AA18">
        <v>0</v>
      </c>
      <c r="AB18">
        <v>0</v>
      </c>
      <c r="AC18">
        <v>0</v>
      </c>
      <c r="AD18">
        <v>0</v>
      </c>
      <c r="AE18">
        <v>50270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460482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3">
      <c r="A19" t="s">
        <v>69</v>
      </c>
      <c r="B19" t="s">
        <v>64</v>
      </c>
      <c r="C19">
        <v>2082</v>
      </c>
      <c r="D19">
        <v>7</v>
      </c>
      <c r="E19">
        <v>4</v>
      </c>
      <c r="F19" t="s">
        <v>67</v>
      </c>
      <c r="G19">
        <v>221694</v>
      </c>
      <c r="H19">
        <v>180</v>
      </c>
      <c r="I19">
        <v>330</v>
      </c>
      <c r="J19">
        <v>255</v>
      </c>
      <c r="K19" t="s">
        <v>58</v>
      </c>
      <c r="L19" t="s">
        <v>58</v>
      </c>
      <c r="M19" t="b">
        <v>0</v>
      </c>
      <c r="N19">
        <v>56531970</v>
      </c>
      <c r="O19" t="b">
        <f t="shared" si="0"/>
        <v>1</v>
      </c>
      <c r="P19">
        <v>221694</v>
      </c>
      <c r="Q19">
        <f t="shared" si="1"/>
        <v>0</v>
      </c>
      <c r="R19">
        <v>0.79275938906781396</v>
      </c>
      <c r="S19">
        <v>10</v>
      </c>
      <c r="T19" t="b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175750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45944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3">
      <c r="A20" t="s">
        <v>69</v>
      </c>
      <c r="B20" t="s">
        <v>64</v>
      </c>
      <c r="C20">
        <v>2082</v>
      </c>
      <c r="D20">
        <v>8</v>
      </c>
      <c r="E20">
        <v>5</v>
      </c>
      <c r="F20" t="s">
        <v>68</v>
      </c>
      <c r="G20">
        <v>228700</v>
      </c>
      <c r="H20">
        <v>180</v>
      </c>
      <c r="I20">
        <v>330</v>
      </c>
      <c r="J20">
        <v>255</v>
      </c>
      <c r="K20" t="s">
        <v>58</v>
      </c>
      <c r="L20" t="s">
        <v>58</v>
      </c>
      <c r="M20" t="b">
        <v>0</v>
      </c>
      <c r="N20">
        <v>58318500</v>
      </c>
      <c r="O20" t="b">
        <f t="shared" si="0"/>
        <v>1</v>
      </c>
      <c r="P20">
        <v>228700</v>
      </c>
      <c r="Q20">
        <f t="shared" si="1"/>
        <v>0</v>
      </c>
      <c r="R20">
        <v>1</v>
      </c>
      <c r="S20">
        <v>10</v>
      </c>
      <c r="T20" t="b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226900</v>
      </c>
      <c r="AA20">
        <v>0</v>
      </c>
      <c r="AB20">
        <v>0</v>
      </c>
      <c r="AC20">
        <v>0</v>
      </c>
      <c r="AD20">
        <v>0</v>
      </c>
      <c r="AE20">
        <v>1800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3">
      <c r="A21" t="s">
        <v>69</v>
      </c>
      <c r="B21" t="s">
        <v>64</v>
      </c>
      <c r="C21">
        <v>2082</v>
      </c>
      <c r="D21">
        <v>9</v>
      </c>
      <c r="E21">
        <v>6</v>
      </c>
      <c r="F21" t="s">
        <v>57</v>
      </c>
      <c r="G21">
        <v>226805</v>
      </c>
      <c r="H21">
        <v>180</v>
      </c>
      <c r="I21">
        <v>330</v>
      </c>
      <c r="J21">
        <v>255</v>
      </c>
      <c r="K21" t="s">
        <v>58</v>
      </c>
      <c r="L21" t="s">
        <v>58</v>
      </c>
      <c r="M21" t="b">
        <v>0</v>
      </c>
      <c r="N21">
        <v>57835275</v>
      </c>
      <c r="O21" t="b">
        <f t="shared" si="0"/>
        <v>1</v>
      </c>
      <c r="P21">
        <v>226805</v>
      </c>
      <c r="Q21">
        <f t="shared" si="1"/>
        <v>0</v>
      </c>
      <c r="R21">
        <v>1</v>
      </c>
      <c r="S21">
        <v>10</v>
      </c>
      <c r="T21" t="b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220900</v>
      </c>
      <c r="AA21">
        <v>0</v>
      </c>
      <c r="AB21">
        <v>0</v>
      </c>
      <c r="AC21">
        <v>0</v>
      </c>
      <c r="AD21">
        <v>0</v>
      </c>
      <c r="AE21">
        <v>5905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3">
      <c r="A22" t="s">
        <v>69</v>
      </c>
      <c r="B22" t="s">
        <v>64</v>
      </c>
      <c r="C22">
        <v>2082</v>
      </c>
      <c r="D22">
        <v>10</v>
      </c>
      <c r="E22">
        <v>7</v>
      </c>
      <c r="F22" t="s">
        <v>59</v>
      </c>
      <c r="G22">
        <v>185455</v>
      </c>
      <c r="H22">
        <v>225</v>
      </c>
      <c r="I22">
        <v>330</v>
      </c>
      <c r="J22">
        <v>255</v>
      </c>
      <c r="K22" t="s">
        <v>58</v>
      </c>
      <c r="L22" t="s">
        <v>58</v>
      </c>
      <c r="M22" t="b">
        <v>0</v>
      </c>
      <c r="N22">
        <v>47291025</v>
      </c>
      <c r="O22" t="b">
        <f t="shared" si="0"/>
        <v>1</v>
      </c>
      <c r="P22">
        <v>185455</v>
      </c>
      <c r="Q22">
        <f t="shared" si="1"/>
        <v>0</v>
      </c>
      <c r="R22">
        <v>1</v>
      </c>
      <c r="S22">
        <v>10</v>
      </c>
      <c r="T22" t="b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185455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 spans="1:56" x14ac:dyDescent="0.3">
      <c r="A23" t="s">
        <v>69</v>
      </c>
      <c r="B23" t="s">
        <v>64</v>
      </c>
      <c r="C23">
        <v>2082</v>
      </c>
      <c r="D23">
        <v>11</v>
      </c>
      <c r="E23">
        <v>8</v>
      </c>
      <c r="F23" t="s">
        <v>60</v>
      </c>
      <c r="G23">
        <v>221540</v>
      </c>
      <c r="H23">
        <v>225</v>
      </c>
      <c r="I23">
        <v>330</v>
      </c>
      <c r="J23">
        <v>255</v>
      </c>
      <c r="K23" t="s">
        <v>58</v>
      </c>
      <c r="L23" t="s">
        <v>58</v>
      </c>
      <c r="M23" t="b">
        <v>0</v>
      </c>
      <c r="N23">
        <v>56492700</v>
      </c>
      <c r="O23" t="b">
        <f t="shared" si="0"/>
        <v>1</v>
      </c>
      <c r="P23">
        <v>221540</v>
      </c>
      <c r="Q23">
        <f t="shared" si="1"/>
        <v>0</v>
      </c>
      <c r="R23">
        <v>1</v>
      </c>
      <c r="S23">
        <v>10</v>
      </c>
      <c r="T23" t="b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221540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3">
      <c r="A24" t="s">
        <v>69</v>
      </c>
      <c r="B24" t="s">
        <v>64</v>
      </c>
      <c r="C24">
        <v>2082</v>
      </c>
      <c r="D24">
        <v>12</v>
      </c>
      <c r="E24">
        <v>9</v>
      </c>
      <c r="F24" t="s">
        <v>61</v>
      </c>
      <c r="G24">
        <v>309170</v>
      </c>
      <c r="H24">
        <v>225</v>
      </c>
      <c r="I24">
        <v>330</v>
      </c>
      <c r="J24">
        <v>255</v>
      </c>
      <c r="K24" t="s">
        <v>58</v>
      </c>
      <c r="L24" t="s">
        <v>58</v>
      </c>
      <c r="M24" t="b">
        <v>0</v>
      </c>
      <c r="N24">
        <v>78838350</v>
      </c>
      <c r="O24" t="b">
        <f t="shared" si="0"/>
        <v>1</v>
      </c>
      <c r="P24">
        <v>309170</v>
      </c>
      <c r="Q24">
        <f t="shared" si="1"/>
        <v>0</v>
      </c>
      <c r="R24">
        <v>1</v>
      </c>
      <c r="S24">
        <v>10</v>
      </c>
      <c r="T24" t="b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295920</v>
      </c>
      <c r="AA24">
        <v>0</v>
      </c>
      <c r="AB24">
        <v>0</v>
      </c>
      <c r="AC24">
        <v>0</v>
      </c>
      <c r="AD24">
        <v>0</v>
      </c>
      <c r="AE24">
        <v>13250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3">
      <c r="A25" t="s">
        <v>69</v>
      </c>
      <c r="B25" t="s">
        <v>64</v>
      </c>
      <c r="C25">
        <v>2083</v>
      </c>
      <c r="D25">
        <v>1</v>
      </c>
      <c r="E25">
        <v>10</v>
      </c>
      <c r="F25" t="s">
        <v>62</v>
      </c>
      <c r="G25">
        <v>326790</v>
      </c>
      <c r="H25">
        <v>225</v>
      </c>
      <c r="I25">
        <v>350</v>
      </c>
      <c r="J25">
        <v>266.3</v>
      </c>
      <c r="K25" t="s">
        <v>58</v>
      </c>
      <c r="L25" t="s">
        <v>58</v>
      </c>
      <c r="M25" t="b">
        <v>0</v>
      </c>
      <c r="N25">
        <v>87024177</v>
      </c>
      <c r="O25" t="b">
        <f t="shared" si="0"/>
        <v>1</v>
      </c>
      <c r="P25">
        <v>326790</v>
      </c>
      <c r="Q25">
        <f t="shared" si="1"/>
        <v>0</v>
      </c>
      <c r="R25">
        <v>1</v>
      </c>
      <c r="S25">
        <v>10</v>
      </c>
      <c r="T25" t="b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326790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 x14ac:dyDescent="0.3">
      <c r="A26" t="s">
        <v>71</v>
      </c>
      <c r="B26" t="s">
        <v>64</v>
      </c>
      <c r="C26">
        <v>2082</v>
      </c>
      <c r="D26">
        <v>4</v>
      </c>
      <c r="E26">
        <v>1</v>
      </c>
      <c r="F26" t="s">
        <v>70</v>
      </c>
      <c r="G26">
        <v>0</v>
      </c>
      <c r="H26">
        <v>130</v>
      </c>
      <c r="I26">
        <v>330</v>
      </c>
      <c r="J26">
        <v>289.2</v>
      </c>
      <c r="K26" t="s">
        <v>58</v>
      </c>
      <c r="L26" t="s">
        <v>58</v>
      </c>
      <c r="M26" t="b">
        <v>0</v>
      </c>
      <c r="N26">
        <v>0</v>
      </c>
      <c r="O26" t="b">
        <f t="shared" si="0"/>
        <v>1</v>
      </c>
      <c r="P26">
        <v>0</v>
      </c>
      <c r="Q26">
        <f t="shared" si="1"/>
        <v>0</v>
      </c>
      <c r="S26">
        <v>7</v>
      </c>
      <c r="T26" t="b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3">
      <c r="A27" t="s">
        <v>71</v>
      </c>
      <c r="B27" t="s">
        <v>64</v>
      </c>
      <c r="C27">
        <v>2082</v>
      </c>
      <c r="D27">
        <v>6</v>
      </c>
      <c r="E27">
        <v>3</v>
      </c>
      <c r="F27" t="s">
        <v>66</v>
      </c>
      <c r="G27">
        <v>0</v>
      </c>
      <c r="H27">
        <v>270</v>
      </c>
      <c r="I27">
        <v>330</v>
      </c>
      <c r="J27">
        <v>300</v>
      </c>
      <c r="K27" t="s">
        <v>58</v>
      </c>
      <c r="L27" t="s">
        <v>58</v>
      </c>
      <c r="M27" t="b">
        <v>0</v>
      </c>
      <c r="N27">
        <v>0</v>
      </c>
      <c r="O27" t="b">
        <f t="shared" si="0"/>
        <v>1</v>
      </c>
      <c r="P27">
        <v>0</v>
      </c>
      <c r="Q27">
        <f t="shared" si="1"/>
        <v>0</v>
      </c>
      <c r="S27">
        <v>7</v>
      </c>
      <c r="T27" t="b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3">
      <c r="A28" t="s">
        <v>71</v>
      </c>
      <c r="B28" t="s">
        <v>64</v>
      </c>
      <c r="C28">
        <v>2082</v>
      </c>
      <c r="D28">
        <v>8</v>
      </c>
      <c r="E28">
        <v>5</v>
      </c>
      <c r="F28" t="s">
        <v>68</v>
      </c>
      <c r="G28">
        <v>0</v>
      </c>
      <c r="H28">
        <v>270</v>
      </c>
      <c r="I28">
        <v>330</v>
      </c>
      <c r="J28">
        <v>300</v>
      </c>
      <c r="K28" t="s">
        <v>58</v>
      </c>
      <c r="L28" t="s">
        <v>58</v>
      </c>
      <c r="M28" t="b">
        <v>0</v>
      </c>
      <c r="N28">
        <v>0</v>
      </c>
      <c r="O28" t="b">
        <f t="shared" si="0"/>
        <v>1</v>
      </c>
      <c r="P28">
        <v>0</v>
      </c>
      <c r="Q28">
        <f t="shared" si="1"/>
        <v>0</v>
      </c>
      <c r="S28">
        <v>7</v>
      </c>
      <c r="T28" t="b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x14ac:dyDescent="0.3">
      <c r="A29" t="s">
        <v>71</v>
      </c>
      <c r="B29" t="s">
        <v>64</v>
      </c>
      <c r="C29">
        <v>2082</v>
      </c>
      <c r="D29">
        <v>10</v>
      </c>
      <c r="E29">
        <v>7</v>
      </c>
      <c r="F29" t="s">
        <v>59</v>
      </c>
      <c r="G29">
        <v>0</v>
      </c>
      <c r="H29">
        <v>270</v>
      </c>
      <c r="I29">
        <v>330</v>
      </c>
      <c r="J29">
        <v>300</v>
      </c>
      <c r="K29" t="s">
        <v>58</v>
      </c>
      <c r="L29" t="s">
        <v>58</v>
      </c>
      <c r="M29" t="b">
        <v>0</v>
      </c>
      <c r="N29">
        <v>0</v>
      </c>
      <c r="O29" t="b">
        <f t="shared" si="0"/>
        <v>1</v>
      </c>
      <c r="P29">
        <v>0</v>
      </c>
      <c r="Q29">
        <f t="shared" si="1"/>
        <v>0</v>
      </c>
      <c r="S29">
        <v>7</v>
      </c>
      <c r="T29" t="b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 x14ac:dyDescent="0.3">
      <c r="A30" t="s">
        <v>71</v>
      </c>
      <c r="B30" t="s">
        <v>64</v>
      </c>
      <c r="C30">
        <v>2082</v>
      </c>
      <c r="D30">
        <v>11</v>
      </c>
      <c r="E30">
        <v>8</v>
      </c>
      <c r="F30" t="s">
        <v>60</v>
      </c>
      <c r="G30">
        <v>0</v>
      </c>
      <c r="H30">
        <v>270</v>
      </c>
      <c r="I30">
        <v>330</v>
      </c>
      <c r="J30">
        <v>300</v>
      </c>
      <c r="K30" t="s">
        <v>58</v>
      </c>
      <c r="L30" t="s">
        <v>58</v>
      </c>
      <c r="M30" t="b">
        <v>0</v>
      </c>
      <c r="N30">
        <v>0</v>
      </c>
      <c r="O30" t="b">
        <f t="shared" si="0"/>
        <v>1</v>
      </c>
      <c r="P30">
        <v>0</v>
      </c>
      <c r="Q30">
        <f t="shared" si="1"/>
        <v>0</v>
      </c>
      <c r="S30">
        <v>7</v>
      </c>
      <c r="T30" t="b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3">
      <c r="A31" t="s">
        <v>71</v>
      </c>
      <c r="B31" t="s">
        <v>64</v>
      </c>
      <c r="C31">
        <v>2082</v>
      </c>
      <c r="D31">
        <v>12</v>
      </c>
      <c r="E31">
        <v>9</v>
      </c>
      <c r="F31" t="s">
        <v>61</v>
      </c>
      <c r="G31">
        <v>0</v>
      </c>
      <c r="H31">
        <v>270</v>
      </c>
      <c r="I31">
        <v>330</v>
      </c>
      <c r="J31">
        <v>300</v>
      </c>
      <c r="K31" t="s">
        <v>58</v>
      </c>
      <c r="L31" t="s">
        <v>58</v>
      </c>
      <c r="M31" t="b">
        <v>0</v>
      </c>
      <c r="N31">
        <v>0</v>
      </c>
      <c r="O31" t="b">
        <f t="shared" si="0"/>
        <v>1</v>
      </c>
      <c r="P31">
        <v>0</v>
      </c>
      <c r="Q31">
        <f t="shared" si="1"/>
        <v>0</v>
      </c>
      <c r="S31">
        <v>7</v>
      </c>
      <c r="T31" t="b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3">
      <c r="A32" t="s">
        <v>71</v>
      </c>
      <c r="B32" t="s">
        <v>64</v>
      </c>
      <c r="C32">
        <v>2083</v>
      </c>
      <c r="D32">
        <v>1</v>
      </c>
      <c r="E32">
        <v>10</v>
      </c>
      <c r="F32" t="s">
        <v>62</v>
      </c>
      <c r="G32">
        <v>0</v>
      </c>
      <c r="H32">
        <v>270</v>
      </c>
      <c r="I32">
        <v>330</v>
      </c>
      <c r="J32">
        <v>300</v>
      </c>
      <c r="K32" t="s">
        <v>58</v>
      </c>
      <c r="L32" t="s">
        <v>58</v>
      </c>
      <c r="M32" t="b">
        <v>0</v>
      </c>
      <c r="N32">
        <v>0</v>
      </c>
      <c r="O32" t="b">
        <f t="shared" si="0"/>
        <v>1</v>
      </c>
      <c r="P32">
        <v>0</v>
      </c>
      <c r="Q32">
        <f t="shared" si="1"/>
        <v>0</v>
      </c>
      <c r="S32">
        <v>7</v>
      </c>
      <c r="T32" t="b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3">
      <c r="A33" t="s">
        <v>72</v>
      </c>
      <c r="B33" t="s">
        <v>56</v>
      </c>
      <c r="C33">
        <v>2082</v>
      </c>
      <c r="D33">
        <v>4</v>
      </c>
      <c r="E33">
        <v>1</v>
      </c>
      <c r="F33" t="s">
        <v>70</v>
      </c>
      <c r="G33">
        <v>6009</v>
      </c>
      <c r="H33">
        <v>100</v>
      </c>
      <c r="I33">
        <v>120</v>
      </c>
      <c r="J33">
        <v>110</v>
      </c>
      <c r="K33" t="s">
        <v>58</v>
      </c>
      <c r="L33" t="s">
        <v>58</v>
      </c>
      <c r="M33" t="b">
        <v>0</v>
      </c>
      <c r="N33">
        <v>660990</v>
      </c>
      <c r="O33" t="b">
        <f t="shared" si="0"/>
        <v>1</v>
      </c>
      <c r="P33">
        <v>6009</v>
      </c>
      <c r="Q33">
        <f t="shared" si="1"/>
        <v>0</v>
      </c>
      <c r="R33">
        <v>0.63221833915792902</v>
      </c>
      <c r="S33">
        <v>10</v>
      </c>
      <c r="T33" t="b">
        <v>1</v>
      </c>
      <c r="U33">
        <v>0</v>
      </c>
      <c r="V33">
        <v>0</v>
      </c>
      <c r="W33">
        <v>0</v>
      </c>
      <c r="X33">
        <v>0</v>
      </c>
      <c r="Y33">
        <v>150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3799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2060</v>
      </c>
      <c r="BA33">
        <v>0</v>
      </c>
      <c r="BB33">
        <v>0</v>
      </c>
      <c r="BC33">
        <v>0</v>
      </c>
      <c r="BD33">
        <v>0</v>
      </c>
    </row>
    <row r="34" spans="1:56" x14ac:dyDescent="0.3">
      <c r="A34" t="s">
        <v>72</v>
      </c>
      <c r="B34" t="s">
        <v>56</v>
      </c>
      <c r="C34">
        <v>2082</v>
      </c>
      <c r="D34">
        <v>5</v>
      </c>
      <c r="E34">
        <v>2</v>
      </c>
      <c r="F34" t="s">
        <v>65</v>
      </c>
      <c r="G34">
        <v>9385</v>
      </c>
      <c r="H34">
        <v>100</v>
      </c>
      <c r="I34">
        <v>120</v>
      </c>
      <c r="J34">
        <v>110</v>
      </c>
      <c r="K34" t="s">
        <v>58</v>
      </c>
      <c r="L34" t="s">
        <v>58</v>
      </c>
      <c r="M34" t="b">
        <v>0</v>
      </c>
      <c r="N34">
        <v>1032350</v>
      </c>
      <c r="O34" t="b">
        <f t="shared" si="0"/>
        <v>1</v>
      </c>
      <c r="P34">
        <v>9385</v>
      </c>
      <c r="Q34">
        <f t="shared" si="1"/>
        <v>0</v>
      </c>
      <c r="R34">
        <v>0.89557805007991398</v>
      </c>
      <c r="S34">
        <v>10</v>
      </c>
      <c r="T34" t="b">
        <v>1</v>
      </c>
      <c r="U34">
        <v>0</v>
      </c>
      <c r="V34">
        <v>0</v>
      </c>
      <c r="W34">
        <v>0</v>
      </c>
      <c r="X34">
        <v>0</v>
      </c>
      <c r="Y34">
        <v>210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8405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240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530</v>
      </c>
      <c r="BA34">
        <v>0</v>
      </c>
      <c r="BB34">
        <v>0</v>
      </c>
      <c r="BC34">
        <v>0</v>
      </c>
      <c r="BD34">
        <v>0</v>
      </c>
    </row>
    <row r="35" spans="1:56" x14ac:dyDescent="0.3">
      <c r="A35" t="s">
        <v>72</v>
      </c>
      <c r="B35" t="s">
        <v>56</v>
      </c>
      <c r="C35">
        <v>2082</v>
      </c>
      <c r="D35">
        <v>6</v>
      </c>
      <c r="E35">
        <v>3</v>
      </c>
      <c r="F35" t="s">
        <v>66</v>
      </c>
      <c r="G35">
        <v>10750</v>
      </c>
      <c r="H35">
        <v>60</v>
      </c>
      <c r="I35">
        <v>80</v>
      </c>
      <c r="J35">
        <v>70</v>
      </c>
      <c r="K35" t="s">
        <v>58</v>
      </c>
      <c r="L35" t="s">
        <v>58</v>
      </c>
      <c r="M35" t="b">
        <v>0</v>
      </c>
      <c r="N35">
        <v>752500</v>
      </c>
      <c r="O35" t="b">
        <f t="shared" si="0"/>
        <v>1</v>
      </c>
      <c r="P35">
        <v>10750</v>
      </c>
      <c r="Q35">
        <f t="shared" si="1"/>
        <v>0</v>
      </c>
      <c r="R35">
        <v>0.67534883720930206</v>
      </c>
      <c r="S35">
        <v>10</v>
      </c>
      <c r="T35" t="b">
        <v>1</v>
      </c>
      <c r="U35">
        <v>0</v>
      </c>
      <c r="V35">
        <v>0</v>
      </c>
      <c r="W35">
        <v>0</v>
      </c>
      <c r="X35">
        <v>0</v>
      </c>
      <c r="Y35">
        <v>210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7260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3280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3">
      <c r="A36" t="s">
        <v>72</v>
      </c>
      <c r="B36" t="s">
        <v>56</v>
      </c>
      <c r="C36">
        <v>2082</v>
      </c>
      <c r="D36">
        <v>7</v>
      </c>
      <c r="E36">
        <v>4</v>
      </c>
      <c r="F36" t="s">
        <v>67</v>
      </c>
      <c r="G36">
        <v>42060</v>
      </c>
      <c r="H36">
        <v>60</v>
      </c>
      <c r="I36">
        <v>80</v>
      </c>
      <c r="J36">
        <v>65.260000000000005</v>
      </c>
      <c r="K36" t="s">
        <v>58</v>
      </c>
      <c r="L36" t="s">
        <v>58</v>
      </c>
      <c r="M36" t="b">
        <v>0</v>
      </c>
      <c r="N36">
        <v>2744835.6</v>
      </c>
      <c r="O36" t="b">
        <f t="shared" si="0"/>
        <v>1</v>
      </c>
      <c r="P36">
        <v>42060</v>
      </c>
      <c r="Q36">
        <f t="shared" si="1"/>
        <v>0</v>
      </c>
      <c r="R36">
        <v>0.14194008559201099</v>
      </c>
      <c r="S36">
        <v>10</v>
      </c>
      <c r="T36" t="b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790</v>
      </c>
      <c r="AC36">
        <v>5790</v>
      </c>
      <c r="AD36">
        <v>0</v>
      </c>
      <c r="AE36">
        <v>5970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11630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15740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2140</v>
      </c>
    </row>
    <row r="37" spans="1:56" x14ac:dyDescent="0.3">
      <c r="A37" t="s">
        <v>72</v>
      </c>
      <c r="B37" t="s">
        <v>56</v>
      </c>
      <c r="C37">
        <v>2082</v>
      </c>
      <c r="D37">
        <v>8</v>
      </c>
      <c r="E37">
        <v>5</v>
      </c>
      <c r="F37" t="s">
        <v>68</v>
      </c>
      <c r="G37">
        <v>56424</v>
      </c>
      <c r="H37">
        <v>60</v>
      </c>
      <c r="I37">
        <v>80</v>
      </c>
      <c r="J37">
        <v>73.95</v>
      </c>
      <c r="K37" t="s">
        <v>58</v>
      </c>
      <c r="L37" t="s">
        <v>58</v>
      </c>
      <c r="M37" t="b">
        <v>0</v>
      </c>
      <c r="N37">
        <v>4172554.8</v>
      </c>
      <c r="O37" t="b">
        <f t="shared" si="0"/>
        <v>1</v>
      </c>
      <c r="P37">
        <v>56424</v>
      </c>
      <c r="Q37">
        <f t="shared" si="1"/>
        <v>0</v>
      </c>
      <c r="R37">
        <v>0</v>
      </c>
      <c r="S37">
        <v>10</v>
      </c>
      <c r="T37" t="b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3780</v>
      </c>
      <c r="AC37">
        <v>6360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14580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12434</v>
      </c>
      <c r="AR37">
        <v>15120</v>
      </c>
      <c r="AS37">
        <v>2060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2090</v>
      </c>
    </row>
    <row r="38" spans="1:56" x14ac:dyDescent="0.3">
      <c r="A38" t="s">
        <v>72</v>
      </c>
      <c r="B38" t="s">
        <v>56</v>
      </c>
      <c r="C38">
        <v>2082</v>
      </c>
      <c r="D38">
        <v>9</v>
      </c>
      <c r="E38">
        <v>6</v>
      </c>
      <c r="F38" t="s">
        <v>57</v>
      </c>
      <c r="G38">
        <v>40610</v>
      </c>
      <c r="H38">
        <v>60</v>
      </c>
      <c r="I38">
        <v>80</v>
      </c>
      <c r="J38">
        <v>70</v>
      </c>
      <c r="K38" t="s">
        <v>58</v>
      </c>
      <c r="L38" t="s">
        <v>58</v>
      </c>
      <c r="M38" t="b">
        <v>0</v>
      </c>
      <c r="N38">
        <v>2842700</v>
      </c>
      <c r="O38" t="b">
        <f t="shared" si="0"/>
        <v>1</v>
      </c>
      <c r="P38">
        <v>40610</v>
      </c>
      <c r="Q38">
        <f t="shared" si="1"/>
        <v>0</v>
      </c>
      <c r="R38">
        <v>0</v>
      </c>
      <c r="S38">
        <v>10</v>
      </c>
      <c r="T38" t="b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2500</v>
      </c>
      <c r="AC38">
        <v>6505</v>
      </c>
      <c r="AD38">
        <v>520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17820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7745</v>
      </c>
      <c r="AR38">
        <v>2710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1120</v>
      </c>
      <c r="BA38">
        <v>0</v>
      </c>
      <c r="BB38">
        <v>0</v>
      </c>
      <c r="BC38">
        <v>0</v>
      </c>
      <c r="BD38">
        <v>1690</v>
      </c>
    </row>
    <row r="39" spans="1:56" x14ac:dyDescent="0.3">
      <c r="A39" t="s">
        <v>72</v>
      </c>
      <c r="B39" t="s">
        <v>56</v>
      </c>
      <c r="C39">
        <v>2082</v>
      </c>
      <c r="D39">
        <v>10</v>
      </c>
      <c r="E39">
        <v>7</v>
      </c>
      <c r="F39" t="s">
        <v>59</v>
      </c>
      <c r="G39">
        <v>6070</v>
      </c>
      <c r="H39">
        <v>60</v>
      </c>
      <c r="I39">
        <v>80</v>
      </c>
      <c r="J39">
        <v>70</v>
      </c>
      <c r="K39" t="s">
        <v>58</v>
      </c>
      <c r="L39" t="s">
        <v>58</v>
      </c>
      <c r="M39" t="b">
        <v>0</v>
      </c>
      <c r="N39">
        <v>424900</v>
      </c>
      <c r="O39" t="b">
        <f t="shared" si="0"/>
        <v>1</v>
      </c>
      <c r="P39">
        <v>6070</v>
      </c>
      <c r="Q39">
        <f t="shared" si="1"/>
        <v>0</v>
      </c>
      <c r="R39">
        <v>0</v>
      </c>
      <c r="S39">
        <v>10</v>
      </c>
      <c r="T39" t="b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1500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4360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210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3">
      <c r="A40" t="s">
        <v>72</v>
      </c>
      <c r="B40" t="s">
        <v>56</v>
      </c>
      <c r="C40">
        <v>2082</v>
      </c>
      <c r="D40">
        <v>11</v>
      </c>
      <c r="E40">
        <v>8</v>
      </c>
      <c r="F40" t="s">
        <v>60</v>
      </c>
      <c r="G40">
        <v>4700</v>
      </c>
      <c r="H40">
        <v>60</v>
      </c>
      <c r="I40">
        <v>80</v>
      </c>
      <c r="J40">
        <v>70</v>
      </c>
      <c r="K40" t="s">
        <v>58</v>
      </c>
      <c r="L40" t="s">
        <v>58</v>
      </c>
      <c r="M40" t="b">
        <v>0</v>
      </c>
      <c r="N40">
        <v>329000</v>
      </c>
      <c r="O40" t="b">
        <f t="shared" si="0"/>
        <v>1</v>
      </c>
      <c r="P40">
        <v>4700</v>
      </c>
      <c r="Q40">
        <f t="shared" si="1"/>
        <v>0</v>
      </c>
      <c r="R40">
        <v>0</v>
      </c>
      <c r="S40">
        <v>10</v>
      </c>
      <c r="T40" t="b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1180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3210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310</v>
      </c>
    </row>
    <row r="41" spans="1:56" x14ac:dyDescent="0.3">
      <c r="A41" t="s">
        <v>72</v>
      </c>
      <c r="B41" t="s">
        <v>56</v>
      </c>
      <c r="C41">
        <v>2082</v>
      </c>
      <c r="D41">
        <v>12</v>
      </c>
      <c r="E41">
        <v>9</v>
      </c>
      <c r="F41" t="s">
        <v>61</v>
      </c>
      <c r="G41">
        <v>4560</v>
      </c>
      <c r="H41">
        <v>60</v>
      </c>
      <c r="I41">
        <v>80</v>
      </c>
      <c r="J41">
        <v>69.09</v>
      </c>
      <c r="K41" t="s">
        <v>58</v>
      </c>
      <c r="L41" t="s">
        <v>58</v>
      </c>
      <c r="M41" t="b">
        <v>0</v>
      </c>
      <c r="N41">
        <v>315050.40000000002</v>
      </c>
      <c r="O41" t="b">
        <f t="shared" si="0"/>
        <v>1</v>
      </c>
      <c r="P41">
        <v>4560</v>
      </c>
      <c r="Q41">
        <f t="shared" si="1"/>
        <v>0</v>
      </c>
      <c r="R41">
        <v>0</v>
      </c>
      <c r="S41">
        <v>10</v>
      </c>
      <c r="T41" t="b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240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4320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3">
      <c r="A42" t="s">
        <v>72</v>
      </c>
      <c r="B42" t="s">
        <v>56</v>
      </c>
      <c r="C42">
        <v>2083</v>
      </c>
      <c r="D42">
        <v>1</v>
      </c>
      <c r="E42">
        <v>10</v>
      </c>
      <c r="F42" t="s">
        <v>62</v>
      </c>
      <c r="G42">
        <v>1370</v>
      </c>
      <c r="H42">
        <v>60</v>
      </c>
      <c r="I42">
        <v>70</v>
      </c>
      <c r="J42">
        <v>65</v>
      </c>
      <c r="K42" t="s">
        <v>58</v>
      </c>
      <c r="L42" t="s">
        <v>58</v>
      </c>
      <c r="M42" t="b">
        <v>0</v>
      </c>
      <c r="N42">
        <v>89050</v>
      </c>
      <c r="O42" t="b">
        <f t="shared" si="0"/>
        <v>1</v>
      </c>
      <c r="P42">
        <v>1370</v>
      </c>
      <c r="Q42">
        <f t="shared" si="1"/>
        <v>0</v>
      </c>
      <c r="R42">
        <v>0.37956204379561997</v>
      </c>
      <c r="S42">
        <v>10</v>
      </c>
      <c r="T42" t="b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520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850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3">
      <c r="A43" t="s">
        <v>73</v>
      </c>
      <c r="B43" t="s">
        <v>64</v>
      </c>
      <c r="C43">
        <v>2082</v>
      </c>
      <c r="D43">
        <v>4</v>
      </c>
      <c r="E43">
        <v>1</v>
      </c>
      <c r="F43" t="s">
        <v>70</v>
      </c>
      <c r="G43">
        <v>10080</v>
      </c>
      <c r="H43">
        <v>300</v>
      </c>
      <c r="I43">
        <v>350</v>
      </c>
      <c r="J43">
        <v>325</v>
      </c>
      <c r="K43" t="s">
        <v>58</v>
      </c>
      <c r="L43" t="s">
        <v>58</v>
      </c>
      <c r="M43" t="b">
        <v>0</v>
      </c>
      <c r="N43">
        <v>3276000</v>
      </c>
      <c r="O43" t="b">
        <f t="shared" si="0"/>
        <v>1</v>
      </c>
      <c r="P43">
        <v>10080</v>
      </c>
      <c r="Q43">
        <f t="shared" si="1"/>
        <v>0</v>
      </c>
      <c r="R43">
        <v>0.56349206349206304</v>
      </c>
      <c r="S43">
        <v>10</v>
      </c>
      <c r="T43" t="b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4190</v>
      </c>
      <c r="AA43">
        <v>0</v>
      </c>
      <c r="AB43">
        <v>0</v>
      </c>
      <c r="AC43">
        <v>0</v>
      </c>
      <c r="AD43">
        <v>0</v>
      </c>
      <c r="AE43">
        <v>1490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2425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1345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630</v>
      </c>
    </row>
    <row r="44" spans="1:56" x14ac:dyDescent="0.3">
      <c r="A44" t="s">
        <v>73</v>
      </c>
      <c r="B44" t="s">
        <v>64</v>
      </c>
      <c r="C44">
        <v>2082</v>
      </c>
      <c r="D44">
        <v>5</v>
      </c>
      <c r="E44">
        <v>2</v>
      </c>
      <c r="F44" t="s">
        <v>65</v>
      </c>
      <c r="G44">
        <v>4230</v>
      </c>
      <c r="H44">
        <v>300</v>
      </c>
      <c r="I44">
        <v>600</v>
      </c>
      <c r="J44">
        <v>400</v>
      </c>
      <c r="K44" t="s">
        <v>58</v>
      </c>
      <c r="L44" t="s">
        <v>58</v>
      </c>
      <c r="M44" t="b">
        <v>0</v>
      </c>
      <c r="N44">
        <v>1692000</v>
      </c>
      <c r="O44" t="b">
        <f t="shared" si="0"/>
        <v>1</v>
      </c>
      <c r="P44">
        <v>4230</v>
      </c>
      <c r="Q44">
        <f t="shared" si="1"/>
        <v>0</v>
      </c>
      <c r="R44">
        <v>0.48699763593380602</v>
      </c>
      <c r="S44">
        <v>10</v>
      </c>
      <c r="T44" t="b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2060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1160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410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600</v>
      </c>
    </row>
    <row r="45" spans="1:56" x14ac:dyDescent="0.3">
      <c r="A45" t="s">
        <v>73</v>
      </c>
      <c r="B45" t="s">
        <v>64</v>
      </c>
      <c r="C45">
        <v>2082</v>
      </c>
      <c r="D45">
        <v>6</v>
      </c>
      <c r="E45">
        <v>3</v>
      </c>
      <c r="F45" t="s">
        <v>66</v>
      </c>
      <c r="G45">
        <v>9365</v>
      </c>
      <c r="H45">
        <v>300</v>
      </c>
      <c r="I45">
        <v>350</v>
      </c>
      <c r="J45">
        <v>325</v>
      </c>
      <c r="K45" t="s">
        <v>58</v>
      </c>
      <c r="L45" t="s">
        <v>58</v>
      </c>
      <c r="M45" t="b">
        <v>0</v>
      </c>
      <c r="N45">
        <v>3043625</v>
      </c>
      <c r="O45" t="b">
        <f t="shared" si="0"/>
        <v>1</v>
      </c>
      <c r="P45">
        <v>9365</v>
      </c>
      <c r="Q45">
        <f t="shared" si="1"/>
        <v>0</v>
      </c>
      <c r="R45">
        <v>0.80032034169781097</v>
      </c>
      <c r="S45">
        <v>10</v>
      </c>
      <c r="T45" t="b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2090</v>
      </c>
      <c r="AA45">
        <v>0</v>
      </c>
      <c r="AB45">
        <v>0</v>
      </c>
      <c r="AC45">
        <v>0</v>
      </c>
      <c r="AD45">
        <v>0</v>
      </c>
      <c r="AE45">
        <v>5405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1060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600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210</v>
      </c>
    </row>
    <row r="46" spans="1:56" x14ac:dyDescent="0.3">
      <c r="A46" t="s">
        <v>73</v>
      </c>
      <c r="B46" t="s">
        <v>64</v>
      </c>
      <c r="C46">
        <v>2082</v>
      </c>
      <c r="D46">
        <v>7</v>
      </c>
      <c r="E46">
        <v>4</v>
      </c>
      <c r="F46" t="s">
        <v>67</v>
      </c>
      <c r="G46">
        <v>4370</v>
      </c>
      <c r="H46">
        <v>300</v>
      </c>
      <c r="I46">
        <v>350</v>
      </c>
      <c r="J46">
        <v>325</v>
      </c>
      <c r="K46" t="s">
        <v>58</v>
      </c>
      <c r="L46" t="s">
        <v>58</v>
      </c>
      <c r="M46" t="b">
        <v>0</v>
      </c>
      <c r="N46">
        <v>1420250</v>
      </c>
      <c r="O46" t="b">
        <f t="shared" si="0"/>
        <v>1</v>
      </c>
      <c r="P46">
        <v>4370</v>
      </c>
      <c r="Q46">
        <f t="shared" si="1"/>
        <v>0</v>
      </c>
      <c r="R46">
        <v>0.69107551487414098</v>
      </c>
      <c r="S46">
        <v>10</v>
      </c>
      <c r="T46" t="b">
        <v>1</v>
      </c>
      <c r="U46">
        <v>0</v>
      </c>
      <c r="V46">
        <v>0</v>
      </c>
      <c r="W46">
        <v>180</v>
      </c>
      <c r="X46">
        <v>0</v>
      </c>
      <c r="Y46">
        <v>0</v>
      </c>
      <c r="Z46">
        <v>450</v>
      </c>
      <c r="AA46">
        <v>0</v>
      </c>
      <c r="AB46">
        <v>0</v>
      </c>
      <c r="AC46">
        <v>0</v>
      </c>
      <c r="AD46">
        <v>0</v>
      </c>
      <c r="AE46">
        <v>2570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1170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3">
      <c r="A47" t="s">
        <v>73</v>
      </c>
      <c r="B47" t="s">
        <v>64</v>
      </c>
      <c r="C47">
        <v>2082</v>
      </c>
      <c r="D47">
        <v>8</v>
      </c>
      <c r="E47">
        <v>5</v>
      </c>
      <c r="F47" t="s">
        <v>68</v>
      </c>
      <c r="G47">
        <v>11694</v>
      </c>
      <c r="H47">
        <v>300</v>
      </c>
      <c r="I47">
        <v>350</v>
      </c>
      <c r="J47">
        <v>325</v>
      </c>
      <c r="K47" t="s">
        <v>58</v>
      </c>
      <c r="L47" t="s">
        <v>58</v>
      </c>
      <c r="M47" t="b">
        <v>0</v>
      </c>
      <c r="N47">
        <v>3800550</v>
      </c>
      <c r="O47" t="b">
        <f t="shared" si="0"/>
        <v>1</v>
      </c>
      <c r="P47">
        <v>11694</v>
      </c>
      <c r="Q47">
        <f t="shared" si="1"/>
        <v>0</v>
      </c>
      <c r="R47">
        <v>0.73114417650076902</v>
      </c>
      <c r="S47">
        <v>10</v>
      </c>
      <c r="T47" t="b">
        <v>1</v>
      </c>
      <c r="U47">
        <v>0</v>
      </c>
      <c r="V47">
        <v>0</v>
      </c>
      <c r="W47">
        <v>360</v>
      </c>
      <c r="X47">
        <v>0</v>
      </c>
      <c r="Y47">
        <v>0</v>
      </c>
      <c r="Z47">
        <v>1120</v>
      </c>
      <c r="AA47">
        <v>0</v>
      </c>
      <c r="AB47">
        <v>0</v>
      </c>
      <c r="AC47">
        <v>0</v>
      </c>
      <c r="AD47">
        <v>0</v>
      </c>
      <c r="AE47">
        <v>7430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1434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210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1140</v>
      </c>
      <c r="BC47">
        <v>0</v>
      </c>
      <c r="BD47">
        <v>0</v>
      </c>
    </row>
    <row r="48" spans="1:56" x14ac:dyDescent="0.3">
      <c r="A48" t="s">
        <v>73</v>
      </c>
      <c r="B48" t="s">
        <v>64</v>
      </c>
      <c r="C48">
        <v>2082</v>
      </c>
      <c r="D48">
        <v>9</v>
      </c>
      <c r="E48">
        <v>6</v>
      </c>
      <c r="F48" t="s">
        <v>57</v>
      </c>
      <c r="G48">
        <v>11090</v>
      </c>
      <c r="H48">
        <v>300</v>
      </c>
      <c r="I48">
        <v>350</v>
      </c>
      <c r="J48">
        <v>325</v>
      </c>
      <c r="K48" t="s">
        <v>58</v>
      </c>
      <c r="L48" t="s">
        <v>58</v>
      </c>
      <c r="M48" t="b">
        <v>0</v>
      </c>
      <c r="N48">
        <v>3604250</v>
      </c>
      <c r="O48" t="b">
        <f t="shared" si="0"/>
        <v>1</v>
      </c>
      <c r="P48">
        <v>11090</v>
      </c>
      <c r="Q48">
        <f t="shared" si="1"/>
        <v>0</v>
      </c>
      <c r="R48">
        <v>0.71550946798917903</v>
      </c>
      <c r="S48">
        <v>10</v>
      </c>
      <c r="T48" t="b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540</v>
      </c>
      <c r="AA48">
        <v>0</v>
      </c>
      <c r="AB48">
        <v>0</v>
      </c>
      <c r="AC48">
        <v>0</v>
      </c>
      <c r="AD48">
        <v>0</v>
      </c>
      <c r="AE48">
        <v>7395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645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2510</v>
      </c>
      <c r="BC48">
        <v>0</v>
      </c>
      <c r="BD48">
        <v>0</v>
      </c>
    </row>
    <row r="49" spans="1:56" x14ac:dyDescent="0.3">
      <c r="A49" t="s">
        <v>73</v>
      </c>
      <c r="B49" t="s">
        <v>64</v>
      </c>
      <c r="C49">
        <v>2082</v>
      </c>
      <c r="D49">
        <v>10</v>
      </c>
      <c r="E49">
        <v>7</v>
      </c>
      <c r="F49" t="s">
        <v>59</v>
      </c>
      <c r="G49">
        <v>3710</v>
      </c>
      <c r="H49">
        <v>300</v>
      </c>
      <c r="I49">
        <v>350</v>
      </c>
      <c r="J49">
        <v>325</v>
      </c>
      <c r="K49" t="s">
        <v>58</v>
      </c>
      <c r="L49" t="s">
        <v>58</v>
      </c>
      <c r="M49" t="b">
        <v>0</v>
      </c>
      <c r="N49">
        <v>1205750</v>
      </c>
      <c r="O49" t="b">
        <f t="shared" si="0"/>
        <v>1</v>
      </c>
      <c r="P49">
        <v>3710</v>
      </c>
      <c r="Q49">
        <f t="shared" si="1"/>
        <v>0</v>
      </c>
      <c r="R49">
        <v>0.93530997304582197</v>
      </c>
      <c r="S49">
        <v>10</v>
      </c>
      <c r="T49" t="b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3470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240</v>
      </c>
      <c r="BC49">
        <v>0</v>
      </c>
      <c r="BD49">
        <v>0</v>
      </c>
    </row>
    <row r="50" spans="1:56" x14ac:dyDescent="0.3">
      <c r="A50" t="s">
        <v>73</v>
      </c>
      <c r="B50" t="s">
        <v>64</v>
      </c>
      <c r="C50">
        <v>2082</v>
      </c>
      <c r="D50">
        <v>11</v>
      </c>
      <c r="E50">
        <v>8</v>
      </c>
      <c r="F50" t="s">
        <v>60</v>
      </c>
      <c r="G50">
        <v>7540</v>
      </c>
      <c r="H50">
        <v>300</v>
      </c>
      <c r="I50">
        <v>350</v>
      </c>
      <c r="J50">
        <v>325</v>
      </c>
      <c r="K50" t="s">
        <v>58</v>
      </c>
      <c r="L50" t="s">
        <v>58</v>
      </c>
      <c r="M50" t="b">
        <v>0</v>
      </c>
      <c r="N50">
        <v>2450500</v>
      </c>
      <c r="O50" t="b">
        <f t="shared" si="0"/>
        <v>1</v>
      </c>
      <c r="P50">
        <v>7540</v>
      </c>
      <c r="Q50">
        <f t="shared" si="1"/>
        <v>0</v>
      </c>
      <c r="R50">
        <v>1</v>
      </c>
      <c r="S50">
        <v>10</v>
      </c>
      <c r="T50" t="b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7540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3">
      <c r="A51" t="s">
        <v>73</v>
      </c>
      <c r="B51" t="s">
        <v>64</v>
      </c>
      <c r="C51">
        <v>2082</v>
      </c>
      <c r="D51">
        <v>12</v>
      </c>
      <c r="E51">
        <v>9</v>
      </c>
      <c r="F51" t="s">
        <v>61</v>
      </c>
      <c r="G51">
        <v>5140</v>
      </c>
      <c r="H51">
        <v>300</v>
      </c>
      <c r="I51">
        <v>1000</v>
      </c>
      <c r="J51">
        <v>721.43</v>
      </c>
      <c r="K51" t="s">
        <v>58</v>
      </c>
      <c r="L51" t="s">
        <v>58</v>
      </c>
      <c r="M51" t="b">
        <v>0</v>
      </c>
      <c r="N51">
        <v>3708150.2</v>
      </c>
      <c r="O51" t="b">
        <f t="shared" si="0"/>
        <v>1</v>
      </c>
      <c r="P51">
        <v>5140</v>
      </c>
      <c r="Q51">
        <f t="shared" si="1"/>
        <v>0</v>
      </c>
      <c r="R51">
        <v>0.95914396887159503</v>
      </c>
      <c r="S51">
        <v>10</v>
      </c>
      <c r="T51" t="b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210</v>
      </c>
      <c r="AA51">
        <v>0</v>
      </c>
      <c r="AB51">
        <v>0</v>
      </c>
      <c r="AC51">
        <v>0</v>
      </c>
      <c r="AD51">
        <v>0</v>
      </c>
      <c r="AE51">
        <v>4720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210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3">
      <c r="A52" t="s">
        <v>73</v>
      </c>
      <c r="B52" t="s">
        <v>64</v>
      </c>
      <c r="C52">
        <v>2083</v>
      </c>
      <c r="D52">
        <v>1</v>
      </c>
      <c r="E52">
        <v>10</v>
      </c>
      <c r="F52" t="s">
        <v>62</v>
      </c>
      <c r="G52">
        <v>5250</v>
      </c>
      <c r="H52">
        <v>650</v>
      </c>
      <c r="I52">
        <v>800</v>
      </c>
      <c r="J52">
        <v>757.61</v>
      </c>
      <c r="K52" t="s">
        <v>58</v>
      </c>
      <c r="L52" t="s">
        <v>58</v>
      </c>
      <c r="M52" t="b">
        <v>0</v>
      </c>
      <c r="N52">
        <v>3977452.5</v>
      </c>
      <c r="O52" t="b">
        <f t="shared" si="0"/>
        <v>1</v>
      </c>
      <c r="P52">
        <v>5250</v>
      </c>
      <c r="Q52">
        <f t="shared" si="1"/>
        <v>0</v>
      </c>
      <c r="R52">
        <v>1</v>
      </c>
      <c r="S52">
        <v>10</v>
      </c>
      <c r="T52" t="b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5250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3">
      <c r="A53" t="s">
        <v>74</v>
      </c>
      <c r="B53" t="s">
        <v>56</v>
      </c>
      <c r="C53">
        <v>2082</v>
      </c>
      <c r="D53">
        <v>10</v>
      </c>
      <c r="E53">
        <v>7</v>
      </c>
      <c r="F53" t="s">
        <v>59</v>
      </c>
      <c r="G53">
        <v>0</v>
      </c>
      <c r="H53">
        <v>100</v>
      </c>
      <c r="I53">
        <v>160</v>
      </c>
      <c r="J53">
        <v>147.22</v>
      </c>
      <c r="K53" t="s">
        <v>58</v>
      </c>
      <c r="L53" t="s">
        <v>58</v>
      </c>
      <c r="M53" t="b">
        <v>0</v>
      </c>
      <c r="N53">
        <v>0</v>
      </c>
      <c r="O53" t="b">
        <f t="shared" si="0"/>
        <v>1</v>
      </c>
      <c r="P53">
        <v>0</v>
      </c>
      <c r="Q53">
        <f t="shared" si="1"/>
        <v>0</v>
      </c>
      <c r="S53">
        <v>4</v>
      </c>
      <c r="T53" t="b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3">
      <c r="A54" t="s">
        <v>74</v>
      </c>
      <c r="B54" t="s">
        <v>56</v>
      </c>
      <c r="C54">
        <v>2082</v>
      </c>
      <c r="D54">
        <v>11</v>
      </c>
      <c r="E54">
        <v>8</v>
      </c>
      <c r="F54" t="s">
        <v>60</v>
      </c>
      <c r="G54">
        <v>15310</v>
      </c>
      <c r="H54">
        <v>100</v>
      </c>
      <c r="I54">
        <v>160</v>
      </c>
      <c r="J54">
        <v>147.22</v>
      </c>
      <c r="K54" t="s">
        <v>58</v>
      </c>
      <c r="L54" t="s">
        <v>58</v>
      </c>
      <c r="M54" t="b">
        <v>0</v>
      </c>
      <c r="N54">
        <v>2253938.2000000002</v>
      </c>
      <c r="O54" t="b">
        <f t="shared" si="0"/>
        <v>1</v>
      </c>
      <c r="P54">
        <v>15310</v>
      </c>
      <c r="Q54">
        <f t="shared" si="1"/>
        <v>0</v>
      </c>
      <c r="R54">
        <v>0</v>
      </c>
      <c r="S54">
        <v>4</v>
      </c>
      <c r="T54" t="b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4750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10560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3">
      <c r="A55" t="s">
        <v>74</v>
      </c>
      <c r="B55" t="s">
        <v>56</v>
      </c>
      <c r="C55">
        <v>2082</v>
      </c>
      <c r="D55">
        <v>12</v>
      </c>
      <c r="E55">
        <v>9</v>
      </c>
      <c r="F55" t="s">
        <v>61</v>
      </c>
      <c r="G55">
        <v>39790</v>
      </c>
      <c r="H55">
        <v>80</v>
      </c>
      <c r="I55">
        <v>120</v>
      </c>
      <c r="J55">
        <v>100.91</v>
      </c>
      <c r="K55" t="s">
        <v>58</v>
      </c>
      <c r="L55" t="s">
        <v>58</v>
      </c>
      <c r="M55" t="b">
        <v>0</v>
      </c>
      <c r="N55">
        <v>4015208.9</v>
      </c>
      <c r="O55" t="b">
        <f t="shared" si="0"/>
        <v>1</v>
      </c>
      <c r="P55">
        <v>39790</v>
      </c>
      <c r="Q55">
        <f t="shared" si="1"/>
        <v>0</v>
      </c>
      <c r="R55">
        <v>0</v>
      </c>
      <c r="S55">
        <v>4</v>
      </c>
      <c r="T55" t="b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1875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16245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21670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3">
      <c r="A56" t="s">
        <v>74</v>
      </c>
      <c r="B56" t="s">
        <v>56</v>
      </c>
      <c r="C56">
        <v>2083</v>
      </c>
      <c r="D56">
        <v>1</v>
      </c>
      <c r="E56">
        <v>10</v>
      </c>
      <c r="F56" t="s">
        <v>62</v>
      </c>
      <c r="G56">
        <v>0</v>
      </c>
      <c r="H56">
        <v>80</v>
      </c>
      <c r="I56">
        <v>100</v>
      </c>
      <c r="J56">
        <v>90</v>
      </c>
      <c r="K56" t="s">
        <v>58</v>
      </c>
      <c r="L56" t="s">
        <v>58</v>
      </c>
      <c r="M56" t="b">
        <v>0</v>
      </c>
      <c r="N56">
        <v>0</v>
      </c>
      <c r="O56" t="b">
        <f t="shared" si="0"/>
        <v>1</v>
      </c>
      <c r="P56">
        <v>0</v>
      </c>
      <c r="Q56">
        <f t="shared" si="1"/>
        <v>0</v>
      </c>
      <c r="S56">
        <v>4</v>
      </c>
      <c r="T56" t="b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3">
      <c r="A57" t="s">
        <v>75</v>
      </c>
      <c r="B57" t="s">
        <v>56</v>
      </c>
      <c r="C57">
        <v>2082</v>
      </c>
      <c r="D57">
        <v>4</v>
      </c>
      <c r="E57">
        <v>1</v>
      </c>
      <c r="F57" t="s">
        <v>70</v>
      </c>
      <c r="G57">
        <v>23625</v>
      </c>
      <c r="H57">
        <v>60</v>
      </c>
      <c r="I57">
        <v>70</v>
      </c>
      <c r="J57">
        <v>65</v>
      </c>
      <c r="K57" t="s">
        <v>58</v>
      </c>
      <c r="L57" t="s">
        <v>58</v>
      </c>
      <c r="M57" t="b">
        <v>0</v>
      </c>
      <c r="N57">
        <v>1535625</v>
      </c>
      <c r="O57" t="b">
        <f t="shared" si="0"/>
        <v>1</v>
      </c>
      <c r="P57">
        <v>23625</v>
      </c>
      <c r="Q57">
        <f t="shared" si="1"/>
        <v>0</v>
      </c>
      <c r="R57">
        <v>0</v>
      </c>
      <c r="S57">
        <v>7</v>
      </c>
      <c r="T57" t="b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2730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13860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7035</v>
      </c>
    </row>
    <row r="58" spans="1:56" x14ac:dyDescent="0.3">
      <c r="A58" t="s">
        <v>75</v>
      </c>
      <c r="B58" t="s">
        <v>56</v>
      </c>
      <c r="C58">
        <v>2082</v>
      </c>
      <c r="D58">
        <v>5</v>
      </c>
      <c r="E58">
        <v>2</v>
      </c>
      <c r="F58" t="s">
        <v>65</v>
      </c>
      <c r="G58">
        <v>10090</v>
      </c>
      <c r="H58">
        <v>60</v>
      </c>
      <c r="I58">
        <v>70</v>
      </c>
      <c r="J58">
        <v>65</v>
      </c>
      <c r="K58" t="s">
        <v>58</v>
      </c>
      <c r="L58" t="s">
        <v>58</v>
      </c>
      <c r="M58" t="b">
        <v>0</v>
      </c>
      <c r="N58">
        <v>655850</v>
      </c>
      <c r="O58" t="b">
        <f t="shared" si="0"/>
        <v>1</v>
      </c>
      <c r="P58">
        <v>10090</v>
      </c>
      <c r="Q58">
        <f t="shared" si="1"/>
        <v>0</v>
      </c>
      <c r="R58">
        <v>0</v>
      </c>
      <c r="S58">
        <v>7</v>
      </c>
      <c r="T58" t="b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120</v>
      </c>
      <c r="AD58">
        <v>210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8305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1455</v>
      </c>
    </row>
    <row r="59" spans="1:56" x14ac:dyDescent="0.3">
      <c r="A59" t="s">
        <v>75</v>
      </c>
      <c r="B59" t="s">
        <v>56</v>
      </c>
      <c r="C59">
        <v>2082</v>
      </c>
      <c r="D59">
        <v>6</v>
      </c>
      <c r="E59">
        <v>3</v>
      </c>
      <c r="F59" t="s">
        <v>66</v>
      </c>
      <c r="G59">
        <v>540</v>
      </c>
      <c r="H59">
        <v>60</v>
      </c>
      <c r="I59">
        <v>70</v>
      </c>
      <c r="J59">
        <v>65</v>
      </c>
      <c r="K59" t="s">
        <v>58</v>
      </c>
      <c r="L59" t="s">
        <v>58</v>
      </c>
      <c r="M59" t="b">
        <v>0</v>
      </c>
      <c r="N59">
        <v>35100</v>
      </c>
      <c r="O59" t="b">
        <f t="shared" si="0"/>
        <v>1</v>
      </c>
      <c r="P59">
        <v>540</v>
      </c>
      <c r="Q59">
        <f t="shared" si="1"/>
        <v>0</v>
      </c>
      <c r="R59">
        <v>0</v>
      </c>
      <c r="S59">
        <v>7</v>
      </c>
      <c r="T59" t="b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540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x14ac:dyDescent="0.3">
      <c r="A60" t="s">
        <v>75</v>
      </c>
      <c r="B60" t="s">
        <v>56</v>
      </c>
      <c r="C60">
        <v>2082</v>
      </c>
      <c r="D60">
        <v>10</v>
      </c>
      <c r="E60">
        <v>7</v>
      </c>
      <c r="F60" t="s">
        <v>59</v>
      </c>
      <c r="G60">
        <v>0</v>
      </c>
      <c r="H60">
        <v>60</v>
      </c>
      <c r="I60">
        <v>70</v>
      </c>
      <c r="J60">
        <v>65</v>
      </c>
      <c r="K60" t="s">
        <v>58</v>
      </c>
      <c r="L60" t="s">
        <v>58</v>
      </c>
      <c r="M60" t="b">
        <v>0</v>
      </c>
      <c r="N60">
        <v>0</v>
      </c>
      <c r="O60" t="b">
        <f t="shared" si="0"/>
        <v>1</v>
      </c>
      <c r="P60">
        <v>0</v>
      </c>
      <c r="Q60">
        <f t="shared" si="1"/>
        <v>0</v>
      </c>
      <c r="S60">
        <v>7</v>
      </c>
      <c r="T60" t="b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x14ac:dyDescent="0.3">
      <c r="A61" t="s">
        <v>75</v>
      </c>
      <c r="B61" t="s">
        <v>56</v>
      </c>
      <c r="C61">
        <v>2082</v>
      </c>
      <c r="D61">
        <v>11</v>
      </c>
      <c r="E61">
        <v>8</v>
      </c>
      <c r="F61" t="s">
        <v>60</v>
      </c>
      <c r="G61">
        <v>0</v>
      </c>
      <c r="H61">
        <v>60</v>
      </c>
      <c r="I61">
        <v>70</v>
      </c>
      <c r="J61">
        <v>65</v>
      </c>
      <c r="K61" t="s">
        <v>58</v>
      </c>
      <c r="L61" t="s">
        <v>58</v>
      </c>
      <c r="M61" t="b">
        <v>0</v>
      </c>
      <c r="N61">
        <v>0</v>
      </c>
      <c r="O61" t="b">
        <f t="shared" si="0"/>
        <v>1</v>
      </c>
      <c r="P61">
        <v>0</v>
      </c>
      <c r="Q61">
        <f t="shared" si="1"/>
        <v>0</v>
      </c>
      <c r="S61">
        <v>7</v>
      </c>
      <c r="T61" t="b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 spans="1:56" x14ac:dyDescent="0.3">
      <c r="A62" t="s">
        <v>75</v>
      </c>
      <c r="B62" t="s">
        <v>56</v>
      </c>
      <c r="C62">
        <v>2082</v>
      </c>
      <c r="D62">
        <v>12</v>
      </c>
      <c r="E62">
        <v>9</v>
      </c>
      <c r="F62" t="s">
        <v>61</v>
      </c>
      <c r="G62">
        <v>0</v>
      </c>
      <c r="H62">
        <v>60</v>
      </c>
      <c r="I62">
        <v>70</v>
      </c>
      <c r="J62">
        <v>65</v>
      </c>
      <c r="K62" t="s">
        <v>58</v>
      </c>
      <c r="L62" t="s">
        <v>58</v>
      </c>
      <c r="M62" t="b">
        <v>0</v>
      </c>
      <c r="N62">
        <v>0</v>
      </c>
      <c r="O62" t="b">
        <f t="shared" si="0"/>
        <v>1</v>
      </c>
      <c r="P62">
        <v>0</v>
      </c>
      <c r="Q62">
        <f t="shared" si="1"/>
        <v>0</v>
      </c>
      <c r="S62">
        <v>7</v>
      </c>
      <c r="T62" t="b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</row>
    <row r="63" spans="1:56" x14ac:dyDescent="0.3">
      <c r="A63" t="s">
        <v>75</v>
      </c>
      <c r="B63" t="s">
        <v>56</v>
      </c>
      <c r="C63">
        <v>2083</v>
      </c>
      <c r="D63">
        <v>1</v>
      </c>
      <c r="E63">
        <v>10</v>
      </c>
      <c r="F63" t="s">
        <v>62</v>
      </c>
      <c r="G63">
        <v>0</v>
      </c>
      <c r="H63">
        <v>60</v>
      </c>
      <c r="I63">
        <v>70</v>
      </c>
      <c r="J63">
        <v>65</v>
      </c>
      <c r="K63" t="s">
        <v>58</v>
      </c>
      <c r="L63" t="s">
        <v>58</v>
      </c>
      <c r="M63" t="b">
        <v>0</v>
      </c>
      <c r="N63">
        <v>0</v>
      </c>
      <c r="O63" t="b">
        <f t="shared" si="0"/>
        <v>1</v>
      </c>
      <c r="P63">
        <v>0</v>
      </c>
      <c r="Q63">
        <f t="shared" si="1"/>
        <v>0</v>
      </c>
      <c r="S63">
        <v>7</v>
      </c>
      <c r="T63" t="b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3">
      <c r="A64" t="s">
        <v>76</v>
      </c>
      <c r="B64" t="s">
        <v>64</v>
      </c>
      <c r="C64">
        <v>2082</v>
      </c>
      <c r="D64">
        <v>4</v>
      </c>
      <c r="E64">
        <v>1</v>
      </c>
      <c r="F64" t="s">
        <v>70</v>
      </c>
      <c r="G64">
        <v>0</v>
      </c>
      <c r="H64">
        <v>100</v>
      </c>
      <c r="I64">
        <v>130</v>
      </c>
      <c r="J64">
        <v>116.6</v>
      </c>
      <c r="K64" t="s">
        <v>77</v>
      </c>
      <c r="L64" t="s">
        <v>77</v>
      </c>
      <c r="M64" t="b">
        <v>0</v>
      </c>
      <c r="N64">
        <v>0</v>
      </c>
      <c r="O64" t="b">
        <f t="shared" si="0"/>
        <v>1</v>
      </c>
      <c r="P64">
        <v>0</v>
      </c>
      <c r="Q64">
        <f t="shared" si="1"/>
        <v>0</v>
      </c>
      <c r="S64">
        <v>7</v>
      </c>
      <c r="T64" t="b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</row>
    <row r="65" spans="1:56" x14ac:dyDescent="0.3">
      <c r="A65" t="s">
        <v>76</v>
      </c>
      <c r="B65" t="s">
        <v>64</v>
      </c>
      <c r="C65">
        <v>2082</v>
      </c>
      <c r="D65">
        <v>6</v>
      </c>
      <c r="E65">
        <v>3</v>
      </c>
      <c r="F65" t="s">
        <v>66</v>
      </c>
      <c r="G65">
        <v>0</v>
      </c>
      <c r="H65">
        <v>100</v>
      </c>
      <c r="I65">
        <v>130</v>
      </c>
      <c r="J65">
        <v>115</v>
      </c>
      <c r="K65" t="s">
        <v>77</v>
      </c>
      <c r="L65" t="s">
        <v>77</v>
      </c>
      <c r="M65" t="b">
        <v>0</v>
      </c>
      <c r="N65">
        <v>0</v>
      </c>
      <c r="O65" t="b">
        <f t="shared" si="0"/>
        <v>1</v>
      </c>
      <c r="P65">
        <v>0</v>
      </c>
      <c r="Q65">
        <f t="shared" si="1"/>
        <v>0</v>
      </c>
      <c r="S65">
        <v>7</v>
      </c>
      <c r="T65" t="b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</row>
    <row r="66" spans="1:56" x14ac:dyDescent="0.3">
      <c r="A66" t="s">
        <v>76</v>
      </c>
      <c r="B66" t="s">
        <v>64</v>
      </c>
      <c r="C66">
        <v>2082</v>
      </c>
      <c r="D66">
        <v>8</v>
      </c>
      <c r="E66">
        <v>5</v>
      </c>
      <c r="F66" t="s">
        <v>68</v>
      </c>
      <c r="G66">
        <v>0</v>
      </c>
      <c r="H66">
        <v>100</v>
      </c>
      <c r="I66">
        <v>130</v>
      </c>
      <c r="J66">
        <v>115</v>
      </c>
      <c r="K66" t="s">
        <v>77</v>
      </c>
      <c r="L66" t="s">
        <v>77</v>
      </c>
      <c r="M66" t="b">
        <v>0</v>
      </c>
      <c r="N66">
        <v>0</v>
      </c>
      <c r="O66" t="b">
        <f t="shared" ref="O66:O129" si="2">IF(P66=G66,TRUE,FALSE)</f>
        <v>1</v>
      </c>
      <c r="P66">
        <v>0</v>
      </c>
      <c r="Q66">
        <f t="shared" si="1"/>
        <v>0</v>
      </c>
      <c r="S66">
        <v>7</v>
      </c>
      <c r="T66" t="b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3">
      <c r="A67" t="s">
        <v>76</v>
      </c>
      <c r="B67" t="s">
        <v>64</v>
      </c>
      <c r="C67">
        <v>2082</v>
      </c>
      <c r="D67">
        <v>10</v>
      </c>
      <c r="E67">
        <v>7</v>
      </c>
      <c r="F67" t="s">
        <v>59</v>
      </c>
      <c r="G67">
        <v>0</v>
      </c>
      <c r="H67">
        <v>100</v>
      </c>
      <c r="I67">
        <v>130</v>
      </c>
      <c r="J67">
        <v>115</v>
      </c>
      <c r="K67" t="s">
        <v>77</v>
      </c>
      <c r="L67" t="s">
        <v>77</v>
      </c>
      <c r="M67" t="b">
        <v>0</v>
      </c>
      <c r="N67">
        <v>0</v>
      </c>
      <c r="O67" t="b">
        <f t="shared" si="2"/>
        <v>1</v>
      </c>
      <c r="P67">
        <v>0</v>
      </c>
      <c r="Q67">
        <f t="shared" si="1"/>
        <v>0</v>
      </c>
      <c r="S67">
        <v>7</v>
      </c>
      <c r="T67" t="b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</row>
    <row r="68" spans="1:56" x14ac:dyDescent="0.3">
      <c r="A68" t="s">
        <v>76</v>
      </c>
      <c r="B68" t="s">
        <v>64</v>
      </c>
      <c r="C68">
        <v>2082</v>
      </c>
      <c r="D68">
        <v>11</v>
      </c>
      <c r="E68">
        <v>8</v>
      </c>
      <c r="F68" t="s">
        <v>60</v>
      </c>
      <c r="G68">
        <v>0</v>
      </c>
      <c r="H68">
        <v>100</v>
      </c>
      <c r="I68">
        <v>130</v>
      </c>
      <c r="J68">
        <v>115</v>
      </c>
      <c r="K68" t="s">
        <v>77</v>
      </c>
      <c r="L68" t="s">
        <v>77</v>
      </c>
      <c r="M68" t="b">
        <v>0</v>
      </c>
      <c r="N68">
        <v>0</v>
      </c>
      <c r="O68" t="b">
        <f t="shared" si="2"/>
        <v>1</v>
      </c>
      <c r="P68">
        <v>0</v>
      </c>
      <c r="Q68">
        <f t="shared" si="1"/>
        <v>0</v>
      </c>
      <c r="S68">
        <v>7</v>
      </c>
      <c r="T68" t="b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x14ac:dyDescent="0.3">
      <c r="A69" t="s">
        <v>76</v>
      </c>
      <c r="B69" t="s">
        <v>64</v>
      </c>
      <c r="C69">
        <v>2082</v>
      </c>
      <c r="D69">
        <v>12</v>
      </c>
      <c r="E69">
        <v>9</v>
      </c>
      <c r="F69" t="s">
        <v>61</v>
      </c>
      <c r="G69">
        <v>0</v>
      </c>
      <c r="H69">
        <v>100</v>
      </c>
      <c r="I69">
        <v>150</v>
      </c>
      <c r="J69">
        <v>130.44999999999999</v>
      </c>
      <c r="K69" t="s">
        <v>77</v>
      </c>
      <c r="L69" t="s">
        <v>77</v>
      </c>
      <c r="M69" t="b">
        <v>0</v>
      </c>
      <c r="N69">
        <v>0</v>
      </c>
      <c r="O69" t="b">
        <f t="shared" si="2"/>
        <v>1</v>
      </c>
      <c r="P69">
        <v>0</v>
      </c>
      <c r="Q69">
        <f t="shared" si="1"/>
        <v>0</v>
      </c>
      <c r="S69">
        <v>7</v>
      </c>
      <c r="T69" t="b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</row>
    <row r="70" spans="1:56" x14ac:dyDescent="0.3">
      <c r="A70" t="s">
        <v>76</v>
      </c>
      <c r="B70" t="s">
        <v>64</v>
      </c>
      <c r="C70">
        <v>2083</v>
      </c>
      <c r="D70">
        <v>1</v>
      </c>
      <c r="E70">
        <v>10</v>
      </c>
      <c r="F70" t="s">
        <v>62</v>
      </c>
      <c r="G70">
        <v>0</v>
      </c>
      <c r="H70">
        <v>120</v>
      </c>
      <c r="I70">
        <v>200</v>
      </c>
      <c r="J70">
        <v>161.96</v>
      </c>
      <c r="K70" t="s">
        <v>77</v>
      </c>
      <c r="L70" t="s">
        <v>77</v>
      </c>
      <c r="M70" t="b">
        <v>0</v>
      </c>
      <c r="N70">
        <v>0</v>
      </c>
      <c r="O70" t="b">
        <f t="shared" si="2"/>
        <v>1</v>
      </c>
      <c r="P70">
        <v>0</v>
      </c>
      <c r="Q70">
        <f t="shared" si="1"/>
        <v>0</v>
      </c>
      <c r="S70">
        <v>7</v>
      </c>
      <c r="T70" t="b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</row>
    <row r="71" spans="1:56" x14ac:dyDescent="0.3">
      <c r="A71" t="s">
        <v>78</v>
      </c>
      <c r="B71" t="s">
        <v>64</v>
      </c>
      <c r="C71">
        <v>2082</v>
      </c>
      <c r="D71">
        <v>4</v>
      </c>
      <c r="E71">
        <v>1</v>
      </c>
      <c r="F71" t="s">
        <v>70</v>
      </c>
      <c r="G71">
        <v>679640</v>
      </c>
      <c r="H71">
        <v>120</v>
      </c>
      <c r="I71">
        <v>150</v>
      </c>
      <c r="J71">
        <v>136.80000000000001</v>
      </c>
      <c r="K71" t="s">
        <v>77</v>
      </c>
      <c r="L71" t="s">
        <v>77</v>
      </c>
      <c r="M71" t="b">
        <v>0</v>
      </c>
      <c r="N71">
        <v>92974752</v>
      </c>
      <c r="O71" t="b">
        <f t="shared" si="2"/>
        <v>0</v>
      </c>
      <c r="P71">
        <v>676060</v>
      </c>
      <c r="Q71">
        <f t="shared" si="1"/>
        <v>3580</v>
      </c>
      <c r="R71">
        <v>0.50687069195041801</v>
      </c>
      <c r="S71">
        <v>10</v>
      </c>
      <c r="T71" t="b">
        <v>1</v>
      </c>
      <c r="U71">
        <v>0</v>
      </c>
      <c r="V71">
        <v>223880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3450</v>
      </c>
      <c r="AD71">
        <v>0</v>
      </c>
      <c r="AE71">
        <v>342675</v>
      </c>
      <c r="AF71">
        <v>14365</v>
      </c>
      <c r="AG71">
        <v>0</v>
      </c>
      <c r="AH71">
        <v>0</v>
      </c>
      <c r="AI71">
        <v>0</v>
      </c>
      <c r="AJ71">
        <v>0</v>
      </c>
      <c r="AK71">
        <v>1180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3210</v>
      </c>
      <c r="AR71">
        <v>83170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4130</v>
      </c>
    </row>
    <row r="72" spans="1:56" x14ac:dyDescent="0.3">
      <c r="A72" t="s">
        <v>78</v>
      </c>
      <c r="B72" t="s">
        <v>64</v>
      </c>
      <c r="C72">
        <v>2082</v>
      </c>
      <c r="D72">
        <v>5</v>
      </c>
      <c r="E72">
        <v>2</v>
      </c>
      <c r="F72" t="s">
        <v>65</v>
      </c>
      <c r="G72">
        <v>357395</v>
      </c>
      <c r="H72">
        <v>120</v>
      </c>
      <c r="I72">
        <v>160</v>
      </c>
      <c r="J72">
        <v>140</v>
      </c>
      <c r="K72" t="s">
        <v>77</v>
      </c>
      <c r="L72" t="s">
        <v>77</v>
      </c>
      <c r="M72" t="b">
        <v>0</v>
      </c>
      <c r="N72">
        <v>50035300</v>
      </c>
      <c r="O72" t="b">
        <f t="shared" si="2"/>
        <v>1</v>
      </c>
      <c r="P72">
        <v>357395</v>
      </c>
      <c r="Q72">
        <f t="shared" si="1"/>
        <v>0</v>
      </c>
      <c r="R72">
        <v>0.64774269365827697</v>
      </c>
      <c r="S72">
        <v>10</v>
      </c>
      <c r="T72" t="b">
        <v>1</v>
      </c>
      <c r="U72">
        <v>0</v>
      </c>
      <c r="V72">
        <v>42900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4700</v>
      </c>
      <c r="AD72">
        <v>0</v>
      </c>
      <c r="AE72">
        <v>231500</v>
      </c>
      <c r="AF72">
        <v>23650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6525</v>
      </c>
      <c r="AR72">
        <v>45890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2230</v>
      </c>
    </row>
    <row r="73" spans="1:56" x14ac:dyDescent="0.3">
      <c r="A73" t="s">
        <v>78</v>
      </c>
      <c r="B73" t="s">
        <v>64</v>
      </c>
      <c r="C73">
        <v>2082</v>
      </c>
      <c r="D73">
        <v>6</v>
      </c>
      <c r="E73">
        <v>3</v>
      </c>
      <c r="F73" t="s">
        <v>66</v>
      </c>
      <c r="G73">
        <v>345265</v>
      </c>
      <c r="H73">
        <v>130</v>
      </c>
      <c r="I73">
        <v>160</v>
      </c>
      <c r="J73">
        <v>145</v>
      </c>
      <c r="K73" t="s">
        <v>77</v>
      </c>
      <c r="L73" t="s">
        <v>77</v>
      </c>
      <c r="M73" t="b">
        <v>0</v>
      </c>
      <c r="N73">
        <v>50063425</v>
      </c>
      <c r="O73" t="b">
        <f t="shared" si="2"/>
        <v>0</v>
      </c>
      <c r="P73">
        <v>345785</v>
      </c>
      <c r="Q73">
        <f t="shared" si="1"/>
        <v>520</v>
      </c>
      <c r="R73">
        <v>0.71483725436325996</v>
      </c>
      <c r="S73">
        <v>10</v>
      </c>
      <c r="T73" t="b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1150</v>
      </c>
      <c r="AD73">
        <v>0</v>
      </c>
      <c r="AE73">
        <v>247180</v>
      </c>
      <c r="AF73">
        <v>32300</v>
      </c>
      <c r="AG73">
        <v>0</v>
      </c>
      <c r="AH73">
        <v>0</v>
      </c>
      <c r="AI73">
        <v>0</v>
      </c>
      <c r="AJ73">
        <v>1040</v>
      </c>
      <c r="AK73">
        <v>120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12985</v>
      </c>
      <c r="AR73">
        <v>49070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1940</v>
      </c>
    </row>
    <row r="74" spans="1:56" x14ac:dyDescent="0.3">
      <c r="A74" t="s">
        <v>78</v>
      </c>
      <c r="B74" t="s">
        <v>64</v>
      </c>
      <c r="C74">
        <v>2082</v>
      </c>
      <c r="D74">
        <v>7</v>
      </c>
      <c r="E74">
        <v>4</v>
      </c>
      <c r="F74" t="s">
        <v>67</v>
      </c>
      <c r="G74">
        <v>252210</v>
      </c>
      <c r="H74">
        <v>130</v>
      </c>
      <c r="I74">
        <v>160</v>
      </c>
      <c r="J74">
        <v>145</v>
      </c>
      <c r="K74" t="s">
        <v>77</v>
      </c>
      <c r="L74" t="s">
        <v>77</v>
      </c>
      <c r="M74" t="b">
        <v>0</v>
      </c>
      <c r="N74">
        <v>36570450</v>
      </c>
      <c r="O74" t="b">
        <f t="shared" si="2"/>
        <v>1</v>
      </c>
      <c r="P74">
        <v>252210</v>
      </c>
      <c r="Q74">
        <f t="shared" si="1"/>
        <v>0</v>
      </c>
      <c r="R74">
        <v>0.74693707624598504</v>
      </c>
      <c r="S74">
        <v>10</v>
      </c>
      <c r="T74" t="b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1190</v>
      </c>
      <c r="AD74">
        <v>0</v>
      </c>
      <c r="AE74">
        <v>188385</v>
      </c>
      <c r="AF74">
        <v>19730</v>
      </c>
      <c r="AG74">
        <v>0</v>
      </c>
      <c r="AH74">
        <v>0</v>
      </c>
      <c r="AI74">
        <v>0</v>
      </c>
      <c r="AJ74">
        <v>0</v>
      </c>
      <c r="AK74">
        <v>1480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9540</v>
      </c>
      <c r="AR74">
        <v>29535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2350</v>
      </c>
    </row>
    <row r="75" spans="1:56" x14ac:dyDescent="0.3">
      <c r="A75" t="s">
        <v>78</v>
      </c>
      <c r="B75" t="s">
        <v>64</v>
      </c>
      <c r="C75">
        <v>2082</v>
      </c>
      <c r="D75">
        <v>8</v>
      </c>
      <c r="E75">
        <v>5</v>
      </c>
      <c r="F75" t="s">
        <v>68</v>
      </c>
      <c r="G75">
        <v>169600</v>
      </c>
      <c r="H75">
        <v>130</v>
      </c>
      <c r="I75">
        <v>160</v>
      </c>
      <c r="J75">
        <v>145</v>
      </c>
      <c r="K75" t="s">
        <v>77</v>
      </c>
      <c r="L75" t="s">
        <v>77</v>
      </c>
      <c r="M75" t="b">
        <v>0</v>
      </c>
      <c r="N75">
        <v>24592000</v>
      </c>
      <c r="O75" t="b">
        <f t="shared" si="2"/>
        <v>1</v>
      </c>
      <c r="P75">
        <v>169600</v>
      </c>
      <c r="Q75">
        <f t="shared" si="1"/>
        <v>0</v>
      </c>
      <c r="R75">
        <v>0.26886792452830099</v>
      </c>
      <c r="S75">
        <v>10</v>
      </c>
      <c r="T75" t="b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4060</v>
      </c>
      <c r="AD75">
        <v>0</v>
      </c>
      <c r="AE75">
        <v>45600</v>
      </c>
      <c r="AF75">
        <v>33400</v>
      </c>
      <c r="AG75">
        <v>0</v>
      </c>
      <c r="AH75">
        <v>0</v>
      </c>
      <c r="AI75">
        <v>0</v>
      </c>
      <c r="AJ75">
        <v>0</v>
      </c>
      <c r="AK75">
        <v>1710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5160</v>
      </c>
      <c r="AR75">
        <v>76660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3010</v>
      </c>
    </row>
    <row r="76" spans="1:56" x14ac:dyDescent="0.3">
      <c r="A76" t="s">
        <v>78</v>
      </c>
      <c r="B76" t="s">
        <v>64</v>
      </c>
      <c r="C76">
        <v>2082</v>
      </c>
      <c r="D76">
        <v>9</v>
      </c>
      <c r="E76">
        <v>6</v>
      </c>
      <c r="F76" t="s">
        <v>57</v>
      </c>
      <c r="G76">
        <v>212340</v>
      </c>
      <c r="H76">
        <v>130</v>
      </c>
      <c r="I76">
        <v>200</v>
      </c>
      <c r="J76">
        <v>154.55000000000001</v>
      </c>
      <c r="K76" t="s">
        <v>77</v>
      </c>
      <c r="L76" t="s">
        <v>77</v>
      </c>
      <c r="M76" t="b">
        <v>0</v>
      </c>
      <c r="N76">
        <v>32817147</v>
      </c>
      <c r="O76" t="b">
        <f t="shared" si="2"/>
        <v>1</v>
      </c>
      <c r="P76">
        <v>212340</v>
      </c>
      <c r="Q76">
        <f t="shared" si="1"/>
        <v>0</v>
      </c>
      <c r="R76">
        <v>0.49274748045587202</v>
      </c>
      <c r="S76">
        <v>10</v>
      </c>
      <c r="T76" t="b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2720</v>
      </c>
      <c r="AD76">
        <v>0</v>
      </c>
      <c r="AE76">
        <v>104630</v>
      </c>
      <c r="AF76">
        <v>32765</v>
      </c>
      <c r="AG76">
        <v>0</v>
      </c>
      <c r="AH76">
        <v>0</v>
      </c>
      <c r="AI76">
        <v>0</v>
      </c>
      <c r="AJ76">
        <v>8300</v>
      </c>
      <c r="AK76">
        <v>7315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9760</v>
      </c>
      <c r="AR76">
        <v>44160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2690</v>
      </c>
    </row>
    <row r="77" spans="1:56" x14ac:dyDescent="0.3">
      <c r="A77" t="s">
        <v>78</v>
      </c>
      <c r="B77" t="s">
        <v>64</v>
      </c>
      <c r="C77">
        <v>2082</v>
      </c>
      <c r="D77">
        <v>10</v>
      </c>
      <c r="E77">
        <v>7</v>
      </c>
      <c r="F77" t="s">
        <v>59</v>
      </c>
      <c r="G77">
        <v>234855</v>
      </c>
      <c r="H77">
        <v>140</v>
      </c>
      <c r="I77">
        <v>230</v>
      </c>
      <c r="J77">
        <v>197.86</v>
      </c>
      <c r="K77" t="s">
        <v>77</v>
      </c>
      <c r="L77" t="s">
        <v>77</v>
      </c>
      <c r="M77" t="b">
        <v>0</v>
      </c>
      <c r="N77">
        <v>46468410.299999997</v>
      </c>
      <c r="O77" t="b">
        <f t="shared" si="2"/>
        <v>1</v>
      </c>
      <c r="P77">
        <v>234855</v>
      </c>
      <c r="Q77">
        <f t="shared" si="1"/>
        <v>0</v>
      </c>
      <c r="R77">
        <v>0.79414958165676697</v>
      </c>
      <c r="S77">
        <v>10</v>
      </c>
      <c r="T77" t="b">
        <v>1</v>
      </c>
      <c r="U77">
        <v>0</v>
      </c>
      <c r="V77">
        <v>6520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1980</v>
      </c>
      <c r="AD77">
        <v>0</v>
      </c>
      <c r="AE77">
        <v>186510</v>
      </c>
      <c r="AF77">
        <v>16560</v>
      </c>
      <c r="AG77">
        <v>0</v>
      </c>
      <c r="AH77">
        <v>0</v>
      </c>
      <c r="AI77">
        <v>0</v>
      </c>
      <c r="AJ77">
        <v>0</v>
      </c>
      <c r="AK77">
        <v>3020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19805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460</v>
      </c>
    </row>
    <row r="78" spans="1:56" x14ac:dyDescent="0.3">
      <c r="A78" t="s">
        <v>78</v>
      </c>
      <c r="B78" t="s">
        <v>64</v>
      </c>
      <c r="C78">
        <v>2082</v>
      </c>
      <c r="D78">
        <v>11</v>
      </c>
      <c r="E78">
        <v>8</v>
      </c>
      <c r="F78" t="s">
        <v>60</v>
      </c>
      <c r="G78">
        <v>243000</v>
      </c>
      <c r="H78">
        <v>180</v>
      </c>
      <c r="I78">
        <v>230</v>
      </c>
      <c r="J78">
        <v>205</v>
      </c>
      <c r="K78" t="s">
        <v>77</v>
      </c>
      <c r="L78" t="s">
        <v>77</v>
      </c>
      <c r="M78" t="b">
        <v>0</v>
      </c>
      <c r="N78">
        <v>49815000</v>
      </c>
      <c r="O78" t="b">
        <f t="shared" si="2"/>
        <v>1</v>
      </c>
      <c r="P78">
        <v>243000</v>
      </c>
      <c r="Q78">
        <f t="shared" ref="Q78:Q141" si="3">ABS(P78-G78)</f>
        <v>0</v>
      </c>
      <c r="R78">
        <v>0.82911522633744805</v>
      </c>
      <c r="S78">
        <v>10</v>
      </c>
      <c r="T78" t="b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1280</v>
      </c>
      <c r="AD78">
        <v>0</v>
      </c>
      <c r="AE78">
        <v>201475</v>
      </c>
      <c r="AF78">
        <v>23125</v>
      </c>
      <c r="AG78">
        <v>0</v>
      </c>
      <c r="AH78">
        <v>0</v>
      </c>
      <c r="AI78">
        <v>0</v>
      </c>
      <c r="AJ78">
        <v>0</v>
      </c>
      <c r="AK78">
        <v>1670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12680</v>
      </c>
      <c r="AR78">
        <v>2260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510</v>
      </c>
    </row>
    <row r="79" spans="1:56" x14ac:dyDescent="0.3">
      <c r="A79" t="s">
        <v>78</v>
      </c>
      <c r="B79" t="s">
        <v>64</v>
      </c>
      <c r="C79">
        <v>2082</v>
      </c>
      <c r="D79">
        <v>12</v>
      </c>
      <c r="E79">
        <v>9</v>
      </c>
      <c r="F79" t="s">
        <v>61</v>
      </c>
      <c r="G79">
        <v>389320</v>
      </c>
      <c r="H79">
        <v>180</v>
      </c>
      <c r="I79">
        <v>230</v>
      </c>
      <c r="J79">
        <v>194.91</v>
      </c>
      <c r="K79" t="s">
        <v>77</v>
      </c>
      <c r="L79" t="s">
        <v>77</v>
      </c>
      <c r="M79" t="b">
        <v>0</v>
      </c>
      <c r="N79">
        <v>75882361.200000003</v>
      </c>
      <c r="O79" t="b">
        <f t="shared" si="2"/>
        <v>1</v>
      </c>
      <c r="P79">
        <v>389320</v>
      </c>
      <c r="Q79">
        <f t="shared" si="3"/>
        <v>0</v>
      </c>
      <c r="R79">
        <v>0.63036833453200403</v>
      </c>
      <c r="S79">
        <v>10</v>
      </c>
      <c r="T79" t="b">
        <v>1</v>
      </c>
      <c r="U79">
        <v>0</v>
      </c>
      <c r="V79">
        <v>48675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980</v>
      </c>
      <c r="AD79">
        <v>0</v>
      </c>
      <c r="AE79">
        <v>245415</v>
      </c>
      <c r="AF79">
        <v>44415</v>
      </c>
      <c r="AG79">
        <v>0</v>
      </c>
      <c r="AH79">
        <v>0</v>
      </c>
      <c r="AI79">
        <v>0</v>
      </c>
      <c r="AJ79">
        <v>0</v>
      </c>
      <c r="AK79">
        <v>3400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26125</v>
      </c>
      <c r="AR79">
        <v>16310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4000</v>
      </c>
    </row>
    <row r="80" spans="1:56" x14ac:dyDescent="0.3">
      <c r="A80" t="s">
        <v>78</v>
      </c>
      <c r="B80" t="s">
        <v>64</v>
      </c>
      <c r="C80">
        <v>2083</v>
      </c>
      <c r="D80">
        <v>1</v>
      </c>
      <c r="E80">
        <v>10</v>
      </c>
      <c r="F80" t="s">
        <v>62</v>
      </c>
      <c r="G80">
        <v>201750</v>
      </c>
      <c r="H80">
        <v>140</v>
      </c>
      <c r="I80">
        <v>244</v>
      </c>
      <c r="J80">
        <v>175.15</v>
      </c>
      <c r="K80" t="s">
        <v>77</v>
      </c>
      <c r="L80" t="s">
        <v>77</v>
      </c>
      <c r="M80" t="b">
        <v>0</v>
      </c>
      <c r="N80">
        <v>35336512.5</v>
      </c>
      <c r="O80" t="b">
        <f t="shared" si="2"/>
        <v>1</v>
      </c>
      <c r="P80">
        <v>201750</v>
      </c>
      <c r="Q80">
        <f t="shared" si="3"/>
        <v>0</v>
      </c>
      <c r="R80">
        <v>0.182304832713754</v>
      </c>
      <c r="S80">
        <v>10</v>
      </c>
      <c r="T80" t="b">
        <v>1</v>
      </c>
      <c r="U80">
        <v>0</v>
      </c>
      <c r="V80">
        <v>37380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1860</v>
      </c>
      <c r="AD80">
        <v>0</v>
      </c>
      <c r="AE80">
        <v>36780</v>
      </c>
      <c r="AF80">
        <v>46230</v>
      </c>
      <c r="AG80">
        <v>0</v>
      </c>
      <c r="AH80">
        <v>0</v>
      </c>
      <c r="AI80">
        <v>0</v>
      </c>
      <c r="AJ80">
        <v>0</v>
      </c>
      <c r="AK80">
        <v>1795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41910</v>
      </c>
      <c r="AR80">
        <v>32750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3045</v>
      </c>
    </row>
    <row r="81" spans="1:56" x14ac:dyDescent="0.3">
      <c r="A81" t="s">
        <v>79</v>
      </c>
      <c r="B81" t="s">
        <v>56</v>
      </c>
      <c r="C81">
        <v>2082</v>
      </c>
      <c r="D81">
        <v>5</v>
      </c>
      <c r="E81">
        <v>2</v>
      </c>
      <c r="F81" t="s">
        <v>65</v>
      </c>
      <c r="G81">
        <v>3110</v>
      </c>
      <c r="H81">
        <v>0</v>
      </c>
      <c r="I81">
        <v>0</v>
      </c>
      <c r="J81">
        <v>112.4</v>
      </c>
      <c r="K81" t="s">
        <v>58</v>
      </c>
      <c r="L81" t="s">
        <v>58</v>
      </c>
      <c r="M81" t="b">
        <v>0</v>
      </c>
      <c r="N81">
        <v>349564</v>
      </c>
      <c r="O81" t="b">
        <f t="shared" si="2"/>
        <v>1</v>
      </c>
      <c r="P81">
        <v>3110</v>
      </c>
      <c r="Q81">
        <f t="shared" si="3"/>
        <v>0</v>
      </c>
      <c r="R81">
        <v>0.173633440514469</v>
      </c>
      <c r="S81">
        <v>9</v>
      </c>
      <c r="T81" t="b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120</v>
      </c>
      <c r="AD81">
        <v>0</v>
      </c>
      <c r="AE81">
        <v>540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2450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3">
      <c r="A82" t="s">
        <v>79</v>
      </c>
      <c r="B82" t="s">
        <v>56</v>
      </c>
      <c r="C82">
        <v>2082</v>
      </c>
      <c r="D82">
        <v>6</v>
      </c>
      <c r="E82">
        <v>3</v>
      </c>
      <c r="F82" t="s">
        <v>66</v>
      </c>
      <c r="G82">
        <v>16005</v>
      </c>
      <c r="H82">
        <v>150</v>
      </c>
      <c r="I82">
        <v>200</v>
      </c>
      <c r="J82">
        <v>180.63</v>
      </c>
      <c r="K82" t="s">
        <v>58</v>
      </c>
      <c r="L82" t="s">
        <v>58</v>
      </c>
      <c r="M82" t="b">
        <v>0</v>
      </c>
      <c r="N82">
        <v>2890983.15</v>
      </c>
      <c r="O82" t="b">
        <f t="shared" si="2"/>
        <v>1</v>
      </c>
      <c r="P82">
        <v>16005</v>
      </c>
      <c r="Q82">
        <f t="shared" si="3"/>
        <v>0</v>
      </c>
      <c r="R82">
        <v>0</v>
      </c>
      <c r="S82">
        <v>9</v>
      </c>
      <c r="T82" t="b">
        <v>0</v>
      </c>
      <c r="U82">
        <v>0</v>
      </c>
      <c r="V82">
        <v>0</v>
      </c>
      <c r="W82">
        <v>3000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13005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</row>
    <row r="83" spans="1:56" x14ac:dyDescent="0.3">
      <c r="A83" t="s">
        <v>79</v>
      </c>
      <c r="B83" t="s">
        <v>56</v>
      </c>
      <c r="C83">
        <v>2082</v>
      </c>
      <c r="D83">
        <v>7</v>
      </c>
      <c r="E83">
        <v>4</v>
      </c>
      <c r="F83" t="s">
        <v>67</v>
      </c>
      <c r="G83">
        <v>45010</v>
      </c>
      <c r="H83">
        <v>80</v>
      </c>
      <c r="I83">
        <v>120</v>
      </c>
      <c r="J83">
        <v>117.89</v>
      </c>
      <c r="K83" t="s">
        <v>58</v>
      </c>
      <c r="L83" t="s">
        <v>58</v>
      </c>
      <c r="M83" t="b">
        <v>0</v>
      </c>
      <c r="N83">
        <v>5306228.9000000004</v>
      </c>
      <c r="O83" t="b">
        <f t="shared" si="2"/>
        <v>1</v>
      </c>
      <c r="P83">
        <v>45010</v>
      </c>
      <c r="Q83">
        <f t="shared" si="3"/>
        <v>0</v>
      </c>
      <c r="R83">
        <v>0</v>
      </c>
      <c r="S83">
        <v>9</v>
      </c>
      <c r="T83" t="b">
        <v>0</v>
      </c>
      <c r="U83">
        <v>0</v>
      </c>
      <c r="V83">
        <v>0</v>
      </c>
      <c r="W83">
        <v>4030</v>
      </c>
      <c r="X83">
        <v>0</v>
      </c>
      <c r="Y83">
        <v>0</v>
      </c>
      <c r="Z83">
        <v>0</v>
      </c>
      <c r="AA83">
        <v>0</v>
      </c>
      <c r="AB83">
        <v>5660</v>
      </c>
      <c r="AC83">
        <v>0</v>
      </c>
      <c r="AD83">
        <v>18170</v>
      </c>
      <c r="AE83">
        <v>0</v>
      </c>
      <c r="AF83">
        <v>0</v>
      </c>
      <c r="AG83">
        <v>160</v>
      </c>
      <c r="AH83">
        <v>0</v>
      </c>
      <c r="AI83">
        <v>0</v>
      </c>
      <c r="AJ83">
        <v>0</v>
      </c>
      <c r="AK83">
        <v>10650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1570</v>
      </c>
      <c r="AR83">
        <v>0</v>
      </c>
      <c r="AS83">
        <v>0</v>
      </c>
      <c r="AT83">
        <v>0</v>
      </c>
      <c r="AU83">
        <v>4770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</row>
    <row r="84" spans="1:56" x14ac:dyDescent="0.3">
      <c r="A84" t="s">
        <v>79</v>
      </c>
      <c r="B84" t="s">
        <v>56</v>
      </c>
      <c r="C84">
        <v>2082</v>
      </c>
      <c r="D84">
        <v>8</v>
      </c>
      <c r="E84">
        <v>5</v>
      </c>
      <c r="F84" t="s">
        <v>68</v>
      </c>
      <c r="G84">
        <v>20710</v>
      </c>
      <c r="H84">
        <v>80</v>
      </c>
      <c r="I84">
        <v>120</v>
      </c>
      <c r="J84">
        <v>97.89</v>
      </c>
      <c r="K84" t="s">
        <v>58</v>
      </c>
      <c r="L84" t="s">
        <v>58</v>
      </c>
      <c r="M84" t="b">
        <v>0</v>
      </c>
      <c r="N84">
        <v>2027301.9</v>
      </c>
      <c r="O84" t="b">
        <f t="shared" si="2"/>
        <v>1</v>
      </c>
      <c r="P84">
        <v>20710</v>
      </c>
      <c r="Q84">
        <f t="shared" si="3"/>
        <v>0</v>
      </c>
      <c r="R84">
        <v>0</v>
      </c>
      <c r="S84">
        <v>9</v>
      </c>
      <c r="T84" t="b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4285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14155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2270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x14ac:dyDescent="0.3">
      <c r="A85" t="s">
        <v>79</v>
      </c>
      <c r="B85" t="s">
        <v>56</v>
      </c>
      <c r="C85">
        <v>2082</v>
      </c>
      <c r="D85">
        <v>9</v>
      </c>
      <c r="E85">
        <v>6</v>
      </c>
      <c r="F85" t="s">
        <v>57</v>
      </c>
      <c r="G85">
        <v>11315</v>
      </c>
      <c r="H85">
        <v>80</v>
      </c>
      <c r="I85">
        <v>120</v>
      </c>
      <c r="J85">
        <v>95.81</v>
      </c>
      <c r="K85" t="s">
        <v>58</v>
      </c>
      <c r="L85" t="s">
        <v>58</v>
      </c>
      <c r="M85" t="b">
        <v>0</v>
      </c>
      <c r="N85">
        <v>1084090.1499999999</v>
      </c>
      <c r="O85" t="b">
        <f t="shared" si="2"/>
        <v>1</v>
      </c>
      <c r="P85">
        <v>11315</v>
      </c>
      <c r="Q85">
        <f t="shared" si="3"/>
        <v>0</v>
      </c>
      <c r="R85">
        <v>0</v>
      </c>
      <c r="S85">
        <v>9</v>
      </c>
      <c r="T85" t="b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1150</v>
      </c>
      <c r="AH85">
        <v>0</v>
      </c>
      <c r="AI85">
        <v>0</v>
      </c>
      <c r="AJ85">
        <v>0</v>
      </c>
      <c r="AK85">
        <v>1050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9115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3">
      <c r="A86" t="s">
        <v>79</v>
      </c>
      <c r="B86" t="s">
        <v>56</v>
      </c>
      <c r="C86">
        <v>2082</v>
      </c>
      <c r="D86">
        <v>10</v>
      </c>
      <c r="E86">
        <v>7</v>
      </c>
      <c r="F86" t="s">
        <v>59</v>
      </c>
      <c r="G86">
        <v>12270</v>
      </c>
      <c r="H86">
        <v>80</v>
      </c>
      <c r="I86">
        <v>120</v>
      </c>
      <c r="J86">
        <v>103.71</v>
      </c>
      <c r="K86" t="s">
        <v>58</v>
      </c>
      <c r="L86" t="s">
        <v>58</v>
      </c>
      <c r="M86" t="b">
        <v>0</v>
      </c>
      <c r="N86">
        <v>1272521.7</v>
      </c>
      <c r="O86" t="b">
        <f t="shared" si="2"/>
        <v>1</v>
      </c>
      <c r="P86">
        <v>12270</v>
      </c>
      <c r="Q86">
        <f t="shared" si="3"/>
        <v>0</v>
      </c>
      <c r="R86">
        <v>0</v>
      </c>
      <c r="S86">
        <v>9</v>
      </c>
      <c r="T86" t="b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12270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</row>
    <row r="87" spans="1:56" x14ac:dyDescent="0.3">
      <c r="A87" t="s">
        <v>79</v>
      </c>
      <c r="B87" t="s">
        <v>56</v>
      </c>
      <c r="C87">
        <v>2082</v>
      </c>
      <c r="D87">
        <v>11</v>
      </c>
      <c r="E87">
        <v>8</v>
      </c>
      <c r="F87" t="s">
        <v>60</v>
      </c>
      <c r="G87">
        <v>33825</v>
      </c>
      <c r="H87">
        <v>80</v>
      </c>
      <c r="I87">
        <v>120</v>
      </c>
      <c r="J87">
        <v>101.67</v>
      </c>
      <c r="K87" t="s">
        <v>58</v>
      </c>
      <c r="L87" t="s">
        <v>58</v>
      </c>
      <c r="M87" t="b">
        <v>0</v>
      </c>
      <c r="N87">
        <v>3438987.75</v>
      </c>
      <c r="O87" t="b">
        <f t="shared" si="2"/>
        <v>1</v>
      </c>
      <c r="P87">
        <v>33825</v>
      </c>
      <c r="Q87">
        <f t="shared" si="3"/>
        <v>0</v>
      </c>
      <c r="R87">
        <v>0</v>
      </c>
      <c r="S87">
        <v>9</v>
      </c>
      <c r="T87" t="b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5260</v>
      </c>
      <c r="AC87">
        <v>0</v>
      </c>
      <c r="AD87">
        <v>1560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780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26225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</row>
    <row r="88" spans="1:56" x14ac:dyDescent="0.3">
      <c r="A88" t="s">
        <v>79</v>
      </c>
      <c r="B88" t="s">
        <v>56</v>
      </c>
      <c r="C88">
        <v>2082</v>
      </c>
      <c r="D88">
        <v>12</v>
      </c>
      <c r="E88">
        <v>9</v>
      </c>
      <c r="F88" t="s">
        <v>61</v>
      </c>
      <c r="G88">
        <v>75810</v>
      </c>
      <c r="H88">
        <v>80</v>
      </c>
      <c r="I88">
        <v>120</v>
      </c>
      <c r="J88">
        <v>99.55</v>
      </c>
      <c r="K88" t="s">
        <v>58</v>
      </c>
      <c r="L88" t="s">
        <v>58</v>
      </c>
      <c r="M88" t="b">
        <v>0</v>
      </c>
      <c r="N88">
        <v>7546885.5</v>
      </c>
      <c r="O88" t="b">
        <f t="shared" si="2"/>
        <v>1</v>
      </c>
      <c r="P88">
        <v>75810</v>
      </c>
      <c r="Q88">
        <f t="shared" si="3"/>
        <v>0</v>
      </c>
      <c r="R88">
        <v>0</v>
      </c>
      <c r="S88">
        <v>9</v>
      </c>
      <c r="T88" t="b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25380</v>
      </c>
      <c r="AC88">
        <v>0</v>
      </c>
      <c r="AD88">
        <v>1830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5255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43345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</row>
    <row r="89" spans="1:56" x14ac:dyDescent="0.3">
      <c r="A89" t="s">
        <v>79</v>
      </c>
      <c r="B89" t="s">
        <v>56</v>
      </c>
      <c r="C89">
        <v>2083</v>
      </c>
      <c r="D89">
        <v>1</v>
      </c>
      <c r="E89">
        <v>10</v>
      </c>
      <c r="F89" t="s">
        <v>62</v>
      </c>
      <c r="G89">
        <v>33945</v>
      </c>
      <c r="H89">
        <v>80</v>
      </c>
      <c r="I89">
        <v>120</v>
      </c>
      <c r="J89">
        <v>100</v>
      </c>
      <c r="K89" t="s">
        <v>58</v>
      </c>
      <c r="L89" t="s">
        <v>58</v>
      </c>
      <c r="M89" t="b">
        <v>0</v>
      </c>
      <c r="N89">
        <v>3394500</v>
      </c>
      <c r="O89" t="b">
        <f t="shared" si="2"/>
        <v>1</v>
      </c>
      <c r="P89">
        <v>33945</v>
      </c>
      <c r="Q89">
        <f t="shared" si="3"/>
        <v>0</v>
      </c>
      <c r="R89">
        <v>0</v>
      </c>
      <c r="S89">
        <v>9</v>
      </c>
      <c r="T89" t="b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14920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1300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17725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</row>
    <row r="90" spans="1:56" x14ac:dyDescent="0.3">
      <c r="A90" t="s">
        <v>80</v>
      </c>
      <c r="B90" t="s">
        <v>64</v>
      </c>
      <c r="C90">
        <v>2082</v>
      </c>
      <c r="D90">
        <v>4</v>
      </c>
      <c r="E90">
        <v>1</v>
      </c>
      <c r="F90" t="s">
        <v>70</v>
      </c>
      <c r="G90">
        <v>0</v>
      </c>
      <c r="H90">
        <v>150</v>
      </c>
      <c r="I90">
        <v>160</v>
      </c>
      <c r="J90">
        <v>165</v>
      </c>
      <c r="K90" t="s">
        <v>58</v>
      </c>
      <c r="L90" t="s">
        <v>58</v>
      </c>
      <c r="M90" t="b">
        <v>0</v>
      </c>
      <c r="N90">
        <v>0</v>
      </c>
      <c r="O90" t="b">
        <f t="shared" si="2"/>
        <v>1</v>
      </c>
      <c r="P90">
        <v>0</v>
      </c>
      <c r="Q90">
        <f t="shared" si="3"/>
        <v>0</v>
      </c>
      <c r="S90">
        <v>7</v>
      </c>
      <c r="T90" t="b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3">
      <c r="A91" t="s">
        <v>80</v>
      </c>
      <c r="B91" t="s">
        <v>64</v>
      </c>
      <c r="C91">
        <v>2082</v>
      </c>
      <c r="D91">
        <v>7</v>
      </c>
      <c r="E91">
        <v>4</v>
      </c>
      <c r="F91" t="s">
        <v>67</v>
      </c>
      <c r="G91">
        <v>1610</v>
      </c>
      <c r="J91">
        <v>142.5</v>
      </c>
      <c r="K91" t="s">
        <v>58</v>
      </c>
      <c r="L91" t="s">
        <v>58</v>
      </c>
      <c r="M91" t="b">
        <v>0</v>
      </c>
      <c r="N91">
        <v>229425</v>
      </c>
      <c r="O91" t="b">
        <f t="shared" si="2"/>
        <v>1</v>
      </c>
      <c r="P91">
        <v>1610</v>
      </c>
      <c r="Q91">
        <f t="shared" si="3"/>
        <v>0</v>
      </c>
      <c r="R91">
        <v>1</v>
      </c>
      <c r="S91">
        <v>7</v>
      </c>
      <c r="T91" t="b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1610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</row>
    <row r="92" spans="1:56" x14ac:dyDescent="0.3">
      <c r="A92" t="s">
        <v>80</v>
      </c>
      <c r="B92" t="s">
        <v>64</v>
      </c>
      <c r="C92">
        <v>2082</v>
      </c>
      <c r="D92">
        <v>9</v>
      </c>
      <c r="E92">
        <v>6</v>
      </c>
      <c r="F92" t="s">
        <v>57</v>
      </c>
      <c r="G92">
        <v>39900</v>
      </c>
      <c r="H92">
        <v>100</v>
      </c>
      <c r="I92">
        <v>120</v>
      </c>
      <c r="J92">
        <v>110</v>
      </c>
      <c r="K92" t="s">
        <v>58</v>
      </c>
      <c r="L92" t="s">
        <v>58</v>
      </c>
      <c r="M92" t="b">
        <v>0</v>
      </c>
      <c r="N92">
        <v>4389000</v>
      </c>
      <c r="O92" t="b">
        <f t="shared" si="2"/>
        <v>1</v>
      </c>
      <c r="P92">
        <v>39900</v>
      </c>
      <c r="Q92">
        <f t="shared" si="3"/>
        <v>0</v>
      </c>
      <c r="R92">
        <v>0.99887218045112702</v>
      </c>
      <c r="S92">
        <v>7</v>
      </c>
      <c r="T92" t="b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39855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45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</row>
    <row r="93" spans="1:56" x14ac:dyDescent="0.3">
      <c r="A93" t="s">
        <v>80</v>
      </c>
      <c r="B93" t="s">
        <v>64</v>
      </c>
      <c r="C93">
        <v>2082</v>
      </c>
      <c r="D93">
        <v>10</v>
      </c>
      <c r="E93">
        <v>7</v>
      </c>
      <c r="F93" t="s">
        <v>59</v>
      </c>
      <c r="G93">
        <v>43315</v>
      </c>
      <c r="H93">
        <v>100</v>
      </c>
      <c r="I93">
        <v>120</v>
      </c>
      <c r="J93">
        <v>110</v>
      </c>
      <c r="K93" t="s">
        <v>58</v>
      </c>
      <c r="L93" t="s">
        <v>58</v>
      </c>
      <c r="M93" t="b">
        <v>0</v>
      </c>
      <c r="N93">
        <v>4764650</v>
      </c>
      <c r="O93" t="b">
        <f t="shared" si="2"/>
        <v>1</v>
      </c>
      <c r="P93">
        <v>43315</v>
      </c>
      <c r="Q93">
        <f t="shared" si="3"/>
        <v>0</v>
      </c>
      <c r="R93">
        <v>1</v>
      </c>
      <c r="S93">
        <v>7</v>
      </c>
      <c r="T93" t="b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43315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</row>
    <row r="94" spans="1:56" x14ac:dyDescent="0.3">
      <c r="A94" t="s">
        <v>80</v>
      </c>
      <c r="B94" t="s">
        <v>64</v>
      </c>
      <c r="C94">
        <v>2082</v>
      </c>
      <c r="D94">
        <v>11</v>
      </c>
      <c r="E94">
        <v>8</v>
      </c>
      <c r="F94" t="s">
        <v>60</v>
      </c>
      <c r="G94">
        <v>16805</v>
      </c>
      <c r="H94">
        <v>100</v>
      </c>
      <c r="I94">
        <v>120</v>
      </c>
      <c r="J94">
        <v>110</v>
      </c>
      <c r="K94" t="s">
        <v>58</v>
      </c>
      <c r="L94" t="s">
        <v>58</v>
      </c>
      <c r="M94" t="b">
        <v>0</v>
      </c>
      <c r="N94">
        <v>1848550</v>
      </c>
      <c r="O94" t="b">
        <f t="shared" si="2"/>
        <v>0</v>
      </c>
      <c r="P94">
        <v>16850</v>
      </c>
      <c r="Q94">
        <f t="shared" si="3"/>
        <v>45</v>
      </c>
      <c r="R94">
        <v>1</v>
      </c>
      <c r="S94">
        <v>7</v>
      </c>
      <c r="T94" t="b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16850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</row>
    <row r="95" spans="1:56" x14ac:dyDescent="0.3">
      <c r="A95" t="s">
        <v>80</v>
      </c>
      <c r="B95" t="s">
        <v>64</v>
      </c>
      <c r="C95">
        <v>2082</v>
      </c>
      <c r="D95">
        <v>12</v>
      </c>
      <c r="E95">
        <v>9</v>
      </c>
      <c r="F95" t="s">
        <v>61</v>
      </c>
      <c r="G95">
        <v>5645</v>
      </c>
      <c r="H95">
        <v>100</v>
      </c>
      <c r="I95">
        <v>120</v>
      </c>
      <c r="J95">
        <v>110</v>
      </c>
      <c r="K95" t="s">
        <v>58</v>
      </c>
      <c r="L95" t="s">
        <v>58</v>
      </c>
      <c r="M95" t="b">
        <v>0</v>
      </c>
      <c r="N95">
        <v>620950</v>
      </c>
      <c r="O95" t="b">
        <f t="shared" si="2"/>
        <v>1</v>
      </c>
      <c r="P95">
        <v>5645</v>
      </c>
      <c r="Q95">
        <f t="shared" si="3"/>
        <v>0</v>
      </c>
      <c r="R95">
        <v>1</v>
      </c>
      <c r="S95">
        <v>7</v>
      </c>
      <c r="T95" t="b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5645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</row>
    <row r="96" spans="1:56" x14ac:dyDescent="0.3">
      <c r="A96" t="s">
        <v>80</v>
      </c>
      <c r="B96" t="s">
        <v>64</v>
      </c>
      <c r="C96">
        <v>2083</v>
      </c>
      <c r="D96">
        <v>1</v>
      </c>
      <c r="E96">
        <v>10</v>
      </c>
      <c r="F96" t="s">
        <v>62</v>
      </c>
      <c r="G96">
        <v>0</v>
      </c>
      <c r="H96">
        <v>100</v>
      </c>
      <c r="I96">
        <v>120</v>
      </c>
      <c r="J96">
        <v>110</v>
      </c>
      <c r="K96" t="s">
        <v>58</v>
      </c>
      <c r="L96" t="s">
        <v>58</v>
      </c>
      <c r="M96" t="b">
        <v>0</v>
      </c>
      <c r="N96">
        <v>0</v>
      </c>
      <c r="O96" t="b">
        <f t="shared" si="2"/>
        <v>1</v>
      </c>
      <c r="P96">
        <v>0</v>
      </c>
      <c r="Q96">
        <f t="shared" si="3"/>
        <v>0</v>
      </c>
      <c r="S96">
        <v>7</v>
      </c>
      <c r="T96" t="b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</row>
    <row r="97" spans="1:56" x14ac:dyDescent="0.3">
      <c r="A97" t="s">
        <v>81</v>
      </c>
      <c r="B97" t="s">
        <v>56</v>
      </c>
      <c r="C97">
        <v>2082</v>
      </c>
      <c r="D97">
        <v>4</v>
      </c>
      <c r="E97">
        <v>1</v>
      </c>
      <c r="F97" t="s">
        <v>70</v>
      </c>
      <c r="G97">
        <v>42490</v>
      </c>
      <c r="H97">
        <v>80</v>
      </c>
      <c r="I97">
        <v>150</v>
      </c>
      <c r="J97">
        <v>125.2</v>
      </c>
      <c r="K97" t="s">
        <v>58</v>
      </c>
      <c r="L97" t="s">
        <v>58</v>
      </c>
      <c r="M97" t="b">
        <v>0</v>
      </c>
      <c r="N97">
        <v>5319748</v>
      </c>
      <c r="O97" t="b">
        <f t="shared" si="2"/>
        <v>1</v>
      </c>
      <c r="P97">
        <v>42490</v>
      </c>
      <c r="Q97">
        <f t="shared" si="3"/>
        <v>0</v>
      </c>
      <c r="R97">
        <v>0.59849376323840897</v>
      </c>
      <c r="S97">
        <v>10</v>
      </c>
      <c r="T97" t="b">
        <v>1</v>
      </c>
      <c r="U97">
        <v>0</v>
      </c>
      <c r="V97">
        <v>0</v>
      </c>
      <c r="W97">
        <v>0</v>
      </c>
      <c r="X97">
        <v>0</v>
      </c>
      <c r="Y97">
        <v>3020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25430</v>
      </c>
      <c r="AF97">
        <v>0</v>
      </c>
      <c r="AG97">
        <v>6620</v>
      </c>
      <c r="AH97">
        <v>0</v>
      </c>
      <c r="AI97">
        <v>0</v>
      </c>
      <c r="AJ97">
        <v>0</v>
      </c>
      <c r="AK97">
        <v>5680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1740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</row>
    <row r="98" spans="1:56" x14ac:dyDescent="0.3">
      <c r="A98" t="s">
        <v>81</v>
      </c>
      <c r="B98" t="s">
        <v>56</v>
      </c>
      <c r="C98">
        <v>2082</v>
      </c>
      <c r="D98">
        <v>5</v>
      </c>
      <c r="E98">
        <v>2</v>
      </c>
      <c r="F98" t="s">
        <v>65</v>
      </c>
      <c r="G98">
        <v>27985</v>
      </c>
      <c r="H98">
        <v>80</v>
      </c>
      <c r="I98">
        <v>150</v>
      </c>
      <c r="J98">
        <v>131.11000000000001</v>
      </c>
      <c r="K98" t="s">
        <v>58</v>
      </c>
      <c r="L98" t="s">
        <v>58</v>
      </c>
      <c r="M98" t="b">
        <v>0</v>
      </c>
      <c r="N98">
        <v>3669113.35</v>
      </c>
      <c r="O98" t="b">
        <f t="shared" si="2"/>
        <v>1</v>
      </c>
      <c r="P98">
        <v>27985</v>
      </c>
      <c r="Q98">
        <f t="shared" si="3"/>
        <v>0</v>
      </c>
      <c r="R98">
        <v>0.778452742540646</v>
      </c>
      <c r="S98">
        <v>10</v>
      </c>
      <c r="T98" t="b">
        <v>1</v>
      </c>
      <c r="U98">
        <v>0</v>
      </c>
      <c r="V98">
        <v>0</v>
      </c>
      <c r="W98">
        <v>0</v>
      </c>
      <c r="X98">
        <v>0</v>
      </c>
      <c r="Y98">
        <v>580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21785</v>
      </c>
      <c r="AF98">
        <v>0</v>
      </c>
      <c r="AG98">
        <v>4200</v>
      </c>
      <c r="AH98">
        <v>0</v>
      </c>
      <c r="AI98">
        <v>0</v>
      </c>
      <c r="AJ98">
        <v>0</v>
      </c>
      <c r="AK98">
        <v>1210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210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</row>
    <row r="99" spans="1:56" x14ac:dyDescent="0.3">
      <c r="A99" t="s">
        <v>81</v>
      </c>
      <c r="B99" t="s">
        <v>56</v>
      </c>
      <c r="C99">
        <v>2082</v>
      </c>
      <c r="D99">
        <v>6</v>
      </c>
      <c r="E99">
        <v>3</v>
      </c>
      <c r="F99" t="s">
        <v>66</v>
      </c>
      <c r="G99">
        <v>23947</v>
      </c>
      <c r="H99">
        <v>80</v>
      </c>
      <c r="I99">
        <v>120</v>
      </c>
      <c r="J99">
        <v>100</v>
      </c>
      <c r="K99" t="s">
        <v>58</v>
      </c>
      <c r="L99" t="s">
        <v>58</v>
      </c>
      <c r="M99" t="b">
        <v>0</v>
      </c>
      <c r="N99">
        <v>2394700</v>
      </c>
      <c r="O99" t="b">
        <f t="shared" si="2"/>
        <v>1</v>
      </c>
      <c r="P99">
        <v>23947</v>
      </c>
      <c r="Q99">
        <f t="shared" si="3"/>
        <v>0</v>
      </c>
      <c r="R99">
        <v>0.70572514302417799</v>
      </c>
      <c r="S99">
        <v>10</v>
      </c>
      <c r="T99" t="b">
        <v>1</v>
      </c>
      <c r="U99">
        <v>0</v>
      </c>
      <c r="V99">
        <v>0</v>
      </c>
      <c r="W99">
        <v>0</v>
      </c>
      <c r="X99">
        <v>0</v>
      </c>
      <c r="Y99">
        <v>1450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16900</v>
      </c>
      <c r="AF99">
        <v>0</v>
      </c>
      <c r="AG99">
        <v>4850</v>
      </c>
      <c r="AH99">
        <v>0</v>
      </c>
      <c r="AI99">
        <v>0</v>
      </c>
      <c r="AJ99">
        <v>0</v>
      </c>
      <c r="AK99">
        <v>747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</row>
    <row r="100" spans="1:56" x14ac:dyDescent="0.3">
      <c r="A100" t="s">
        <v>81</v>
      </c>
      <c r="B100" t="s">
        <v>56</v>
      </c>
      <c r="C100">
        <v>2082</v>
      </c>
      <c r="D100">
        <v>7</v>
      </c>
      <c r="E100">
        <v>4</v>
      </c>
      <c r="F100" t="s">
        <v>67</v>
      </c>
      <c r="G100">
        <v>38825</v>
      </c>
      <c r="H100">
        <v>80</v>
      </c>
      <c r="I100">
        <v>120</v>
      </c>
      <c r="J100">
        <v>100</v>
      </c>
      <c r="K100" t="s">
        <v>58</v>
      </c>
      <c r="L100" t="s">
        <v>58</v>
      </c>
      <c r="M100" t="b">
        <v>0</v>
      </c>
      <c r="N100">
        <v>3882500</v>
      </c>
      <c r="O100" t="b">
        <f t="shared" si="2"/>
        <v>1</v>
      </c>
      <c r="P100">
        <v>38825</v>
      </c>
      <c r="Q100">
        <f t="shared" si="3"/>
        <v>0</v>
      </c>
      <c r="R100">
        <v>0.85331616226658002</v>
      </c>
      <c r="S100">
        <v>10</v>
      </c>
      <c r="T100" t="b">
        <v>1</v>
      </c>
      <c r="U100">
        <v>0</v>
      </c>
      <c r="V100">
        <v>0</v>
      </c>
      <c r="W100">
        <v>0</v>
      </c>
      <c r="X100">
        <v>0</v>
      </c>
      <c r="Y100">
        <v>640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33130</v>
      </c>
      <c r="AF100">
        <v>0</v>
      </c>
      <c r="AG100">
        <v>4140</v>
      </c>
      <c r="AH100">
        <v>0</v>
      </c>
      <c r="AI100">
        <v>0</v>
      </c>
      <c r="AJ100">
        <v>0</v>
      </c>
      <c r="AK100">
        <v>675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240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 spans="1:56" x14ac:dyDescent="0.3">
      <c r="A101" t="s">
        <v>81</v>
      </c>
      <c r="B101" t="s">
        <v>56</v>
      </c>
      <c r="C101">
        <v>2082</v>
      </c>
      <c r="D101">
        <v>8</v>
      </c>
      <c r="E101">
        <v>5</v>
      </c>
      <c r="F101" t="s">
        <v>68</v>
      </c>
      <c r="G101">
        <v>45580</v>
      </c>
      <c r="H101">
        <v>80</v>
      </c>
      <c r="I101">
        <v>120</v>
      </c>
      <c r="J101">
        <v>100</v>
      </c>
      <c r="K101" t="s">
        <v>58</v>
      </c>
      <c r="L101" t="s">
        <v>58</v>
      </c>
      <c r="M101" t="b">
        <v>0</v>
      </c>
      <c r="N101">
        <v>4558000</v>
      </c>
      <c r="O101" t="b">
        <f t="shared" si="2"/>
        <v>1</v>
      </c>
      <c r="P101">
        <v>45580</v>
      </c>
      <c r="Q101">
        <f t="shared" si="3"/>
        <v>0</v>
      </c>
      <c r="R101">
        <v>0.81669591926283402</v>
      </c>
      <c r="S101">
        <v>10</v>
      </c>
      <c r="T101" t="b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37225</v>
      </c>
      <c r="AF101">
        <v>0</v>
      </c>
      <c r="AG101">
        <v>3220</v>
      </c>
      <c r="AH101">
        <v>0</v>
      </c>
      <c r="AI101">
        <v>0</v>
      </c>
      <c r="AJ101">
        <v>0</v>
      </c>
      <c r="AK101">
        <v>965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3810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360</v>
      </c>
      <c r="BA101">
        <v>0</v>
      </c>
      <c r="BB101">
        <v>0</v>
      </c>
      <c r="BC101">
        <v>0</v>
      </c>
      <c r="BD101">
        <v>0</v>
      </c>
    </row>
    <row r="102" spans="1:56" x14ac:dyDescent="0.3">
      <c r="A102" t="s">
        <v>81</v>
      </c>
      <c r="B102" t="s">
        <v>56</v>
      </c>
      <c r="C102">
        <v>2082</v>
      </c>
      <c r="D102">
        <v>9</v>
      </c>
      <c r="E102">
        <v>6</v>
      </c>
      <c r="F102" t="s">
        <v>57</v>
      </c>
      <c r="G102">
        <v>48221</v>
      </c>
      <c r="H102">
        <v>80</v>
      </c>
      <c r="I102">
        <v>120</v>
      </c>
      <c r="J102">
        <v>100</v>
      </c>
      <c r="K102" t="s">
        <v>58</v>
      </c>
      <c r="L102" t="s">
        <v>58</v>
      </c>
      <c r="M102" t="b">
        <v>0</v>
      </c>
      <c r="N102">
        <v>4822100</v>
      </c>
      <c r="O102" t="b">
        <f t="shared" si="2"/>
        <v>1</v>
      </c>
      <c r="P102">
        <v>48221</v>
      </c>
      <c r="Q102">
        <f t="shared" si="3"/>
        <v>0</v>
      </c>
      <c r="R102">
        <v>0.71371394205843897</v>
      </c>
      <c r="S102">
        <v>10</v>
      </c>
      <c r="T102" t="b">
        <v>1</v>
      </c>
      <c r="U102">
        <v>0</v>
      </c>
      <c r="V102">
        <v>0</v>
      </c>
      <c r="W102">
        <v>0</v>
      </c>
      <c r="X102">
        <v>0</v>
      </c>
      <c r="Y102">
        <v>3120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34416</v>
      </c>
      <c r="AF102">
        <v>0</v>
      </c>
      <c r="AG102">
        <v>1570</v>
      </c>
      <c r="AH102">
        <v>0</v>
      </c>
      <c r="AI102">
        <v>0</v>
      </c>
      <c r="AJ102">
        <v>0</v>
      </c>
      <c r="AK102">
        <v>1980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7135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</row>
    <row r="103" spans="1:56" x14ac:dyDescent="0.3">
      <c r="A103" t="s">
        <v>81</v>
      </c>
      <c r="B103" t="s">
        <v>56</v>
      </c>
      <c r="C103">
        <v>2082</v>
      </c>
      <c r="D103">
        <v>10</v>
      </c>
      <c r="E103">
        <v>7</v>
      </c>
      <c r="F103" t="s">
        <v>59</v>
      </c>
      <c r="G103">
        <v>48505</v>
      </c>
      <c r="H103">
        <v>80</v>
      </c>
      <c r="I103">
        <v>120</v>
      </c>
      <c r="J103">
        <v>100</v>
      </c>
      <c r="K103" t="s">
        <v>58</v>
      </c>
      <c r="L103" t="s">
        <v>58</v>
      </c>
      <c r="M103" t="b">
        <v>0</v>
      </c>
      <c r="N103">
        <v>4850500</v>
      </c>
      <c r="O103" t="b">
        <f t="shared" si="2"/>
        <v>1</v>
      </c>
      <c r="P103">
        <v>48505</v>
      </c>
      <c r="Q103">
        <f t="shared" si="3"/>
        <v>0</v>
      </c>
      <c r="R103">
        <v>0.72858468199154702</v>
      </c>
      <c r="S103">
        <v>10</v>
      </c>
      <c r="T103" t="b">
        <v>1</v>
      </c>
      <c r="U103">
        <v>0</v>
      </c>
      <c r="V103">
        <v>0</v>
      </c>
      <c r="W103">
        <v>0</v>
      </c>
      <c r="X103">
        <v>0</v>
      </c>
      <c r="Y103">
        <v>2355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35340</v>
      </c>
      <c r="AF103">
        <v>0</v>
      </c>
      <c r="AG103">
        <v>2120</v>
      </c>
      <c r="AH103">
        <v>0</v>
      </c>
      <c r="AI103">
        <v>0</v>
      </c>
      <c r="AJ103">
        <v>0</v>
      </c>
      <c r="AK103">
        <v>830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7860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</row>
    <row r="104" spans="1:56" x14ac:dyDescent="0.3">
      <c r="A104" t="s">
        <v>81</v>
      </c>
      <c r="B104" t="s">
        <v>56</v>
      </c>
      <c r="C104">
        <v>2082</v>
      </c>
      <c r="D104">
        <v>11</v>
      </c>
      <c r="E104">
        <v>8</v>
      </c>
      <c r="F104" t="s">
        <v>60</v>
      </c>
      <c r="G104">
        <v>39015</v>
      </c>
      <c r="H104">
        <v>80</v>
      </c>
      <c r="I104">
        <v>120</v>
      </c>
      <c r="J104">
        <v>100</v>
      </c>
      <c r="K104" t="s">
        <v>58</v>
      </c>
      <c r="L104" t="s">
        <v>58</v>
      </c>
      <c r="M104" t="b">
        <v>0</v>
      </c>
      <c r="N104">
        <v>3901500</v>
      </c>
      <c r="O104" t="b">
        <f t="shared" si="2"/>
        <v>1</v>
      </c>
      <c r="P104">
        <v>39015</v>
      </c>
      <c r="Q104">
        <f t="shared" si="3"/>
        <v>0</v>
      </c>
      <c r="R104">
        <v>0.69486095091631395</v>
      </c>
      <c r="S104">
        <v>10</v>
      </c>
      <c r="T104" t="b">
        <v>1</v>
      </c>
      <c r="U104">
        <v>0</v>
      </c>
      <c r="V104">
        <v>0</v>
      </c>
      <c r="W104">
        <v>0</v>
      </c>
      <c r="X104">
        <v>0</v>
      </c>
      <c r="Y104">
        <v>3300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27110</v>
      </c>
      <c r="AF104">
        <v>0</v>
      </c>
      <c r="AG104">
        <v>1720</v>
      </c>
      <c r="AH104">
        <v>0</v>
      </c>
      <c r="AI104">
        <v>0</v>
      </c>
      <c r="AJ104">
        <v>0</v>
      </c>
      <c r="AK104">
        <v>1765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5120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</row>
    <row r="105" spans="1:56" x14ac:dyDescent="0.3">
      <c r="A105" t="s">
        <v>81</v>
      </c>
      <c r="B105" t="s">
        <v>56</v>
      </c>
      <c r="C105">
        <v>2082</v>
      </c>
      <c r="D105">
        <v>12</v>
      </c>
      <c r="E105">
        <v>9</v>
      </c>
      <c r="F105" t="s">
        <v>61</v>
      </c>
      <c r="G105">
        <v>68566</v>
      </c>
      <c r="H105">
        <v>80</v>
      </c>
      <c r="I105">
        <v>120</v>
      </c>
      <c r="J105">
        <v>100</v>
      </c>
      <c r="K105" t="s">
        <v>58</v>
      </c>
      <c r="L105" t="s">
        <v>58</v>
      </c>
      <c r="M105" t="b">
        <v>0</v>
      </c>
      <c r="N105">
        <v>6856600</v>
      </c>
      <c r="O105" t="b">
        <f t="shared" si="2"/>
        <v>1</v>
      </c>
      <c r="P105">
        <v>68566</v>
      </c>
      <c r="Q105">
        <f t="shared" si="3"/>
        <v>0</v>
      </c>
      <c r="R105">
        <v>0.74023568532508799</v>
      </c>
      <c r="S105">
        <v>10</v>
      </c>
      <c r="T105" t="b">
        <v>1</v>
      </c>
      <c r="U105">
        <v>0</v>
      </c>
      <c r="V105">
        <v>0</v>
      </c>
      <c r="W105">
        <v>0</v>
      </c>
      <c r="X105">
        <v>0</v>
      </c>
      <c r="Y105">
        <v>1610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50755</v>
      </c>
      <c r="AF105">
        <v>0</v>
      </c>
      <c r="AG105">
        <v>2810</v>
      </c>
      <c r="AH105">
        <v>0</v>
      </c>
      <c r="AI105">
        <v>0</v>
      </c>
      <c r="AJ105">
        <v>0</v>
      </c>
      <c r="AK105">
        <v>4136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9255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 spans="1:56" x14ac:dyDescent="0.3">
      <c r="A106" t="s">
        <v>81</v>
      </c>
      <c r="B106" t="s">
        <v>56</v>
      </c>
      <c r="C106">
        <v>2083</v>
      </c>
      <c r="D106">
        <v>1</v>
      </c>
      <c r="E106">
        <v>10</v>
      </c>
      <c r="F106" t="s">
        <v>62</v>
      </c>
      <c r="G106">
        <v>52309</v>
      </c>
      <c r="H106">
        <v>80</v>
      </c>
      <c r="I106">
        <v>120</v>
      </c>
      <c r="J106">
        <v>100</v>
      </c>
      <c r="K106" t="s">
        <v>58</v>
      </c>
      <c r="L106" t="s">
        <v>58</v>
      </c>
      <c r="M106" t="b">
        <v>0</v>
      </c>
      <c r="N106">
        <v>5230900</v>
      </c>
      <c r="O106" t="b">
        <f t="shared" si="2"/>
        <v>1</v>
      </c>
      <c r="P106">
        <v>52309</v>
      </c>
      <c r="Q106">
        <f t="shared" si="3"/>
        <v>0</v>
      </c>
      <c r="R106">
        <v>0.69280620925653302</v>
      </c>
      <c r="S106">
        <v>10</v>
      </c>
      <c r="T106" t="b">
        <v>1</v>
      </c>
      <c r="U106">
        <v>0</v>
      </c>
      <c r="V106">
        <v>0</v>
      </c>
      <c r="W106">
        <v>0</v>
      </c>
      <c r="X106">
        <v>0</v>
      </c>
      <c r="Y106">
        <v>6080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36240</v>
      </c>
      <c r="AF106">
        <v>0</v>
      </c>
      <c r="AG106">
        <v>2555</v>
      </c>
      <c r="AH106">
        <v>0</v>
      </c>
      <c r="AI106">
        <v>0</v>
      </c>
      <c r="AJ106">
        <v>0</v>
      </c>
      <c r="AK106">
        <v>3664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3230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540</v>
      </c>
    </row>
    <row r="107" spans="1:56" x14ac:dyDescent="0.3">
      <c r="A107" t="s">
        <v>82</v>
      </c>
      <c r="B107" t="s">
        <v>56</v>
      </c>
      <c r="C107">
        <v>2082</v>
      </c>
      <c r="D107">
        <v>4</v>
      </c>
      <c r="E107">
        <v>1</v>
      </c>
      <c r="F107" t="s">
        <v>70</v>
      </c>
      <c r="G107">
        <v>301081</v>
      </c>
      <c r="H107">
        <v>30</v>
      </c>
      <c r="I107">
        <v>80</v>
      </c>
      <c r="J107">
        <v>106.2</v>
      </c>
      <c r="K107" t="s">
        <v>58</v>
      </c>
      <c r="L107" t="s">
        <v>58</v>
      </c>
      <c r="M107" t="b">
        <v>0</v>
      </c>
      <c r="N107">
        <v>31974802.199999999</v>
      </c>
      <c r="O107" t="b">
        <f t="shared" si="2"/>
        <v>1</v>
      </c>
      <c r="P107">
        <v>301081</v>
      </c>
      <c r="Q107">
        <f t="shared" si="3"/>
        <v>0</v>
      </c>
      <c r="R107">
        <v>0</v>
      </c>
      <c r="S107">
        <v>10</v>
      </c>
      <c r="T107" t="b">
        <v>1</v>
      </c>
      <c r="U107">
        <v>0</v>
      </c>
      <c r="V107">
        <v>0</v>
      </c>
      <c r="W107">
        <v>0</v>
      </c>
      <c r="X107">
        <v>0</v>
      </c>
      <c r="Y107">
        <v>960</v>
      </c>
      <c r="Z107">
        <v>0</v>
      </c>
      <c r="AA107">
        <v>0</v>
      </c>
      <c r="AB107">
        <v>89715</v>
      </c>
      <c r="AC107">
        <v>2470</v>
      </c>
      <c r="AD107">
        <v>16022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93720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92724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5470</v>
      </c>
    </row>
    <row r="108" spans="1:56" x14ac:dyDescent="0.3">
      <c r="A108" t="s">
        <v>82</v>
      </c>
      <c r="B108" t="s">
        <v>56</v>
      </c>
      <c r="C108">
        <v>2082</v>
      </c>
      <c r="D108">
        <v>5</v>
      </c>
      <c r="E108">
        <v>2</v>
      </c>
      <c r="F108" t="s">
        <v>65</v>
      </c>
      <c r="G108">
        <v>187805</v>
      </c>
      <c r="H108">
        <v>25</v>
      </c>
      <c r="I108">
        <v>80</v>
      </c>
      <c r="J108">
        <v>68.13</v>
      </c>
      <c r="K108" t="s">
        <v>58</v>
      </c>
      <c r="L108" t="s">
        <v>58</v>
      </c>
      <c r="M108" t="b">
        <v>0</v>
      </c>
      <c r="N108">
        <v>12795154.6499999</v>
      </c>
      <c r="O108" t="b">
        <f t="shared" si="2"/>
        <v>1</v>
      </c>
      <c r="P108">
        <v>187805</v>
      </c>
      <c r="Q108">
        <f t="shared" si="3"/>
        <v>0</v>
      </c>
      <c r="R108">
        <v>0</v>
      </c>
      <c r="S108">
        <v>10</v>
      </c>
      <c r="T108" t="b">
        <v>1</v>
      </c>
      <c r="U108">
        <v>0</v>
      </c>
      <c r="V108">
        <v>0</v>
      </c>
      <c r="W108">
        <v>0</v>
      </c>
      <c r="X108">
        <v>0</v>
      </c>
      <c r="Y108">
        <v>2170</v>
      </c>
      <c r="Z108">
        <v>0</v>
      </c>
      <c r="AA108">
        <v>0</v>
      </c>
      <c r="AB108">
        <v>59945</v>
      </c>
      <c r="AC108">
        <v>450</v>
      </c>
      <c r="AD108">
        <v>21190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48807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47328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7915</v>
      </c>
    </row>
    <row r="109" spans="1:56" x14ac:dyDescent="0.3">
      <c r="A109" t="s">
        <v>82</v>
      </c>
      <c r="B109" t="s">
        <v>56</v>
      </c>
      <c r="C109">
        <v>2082</v>
      </c>
      <c r="D109">
        <v>6</v>
      </c>
      <c r="E109">
        <v>3</v>
      </c>
      <c r="F109" t="s">
        <v>66</v>
      </c>
      <c r="G109">
        <v>112480</v>
      </c>
      <c r="H109">
        <v>80</v>
      </c>
      <c r="I109">
        <v>150</v>
      </c>
      <c r="J109">
        <v>112.5</v>
      </c>
      <c r="K109" t="s">
        <v>58</v>
      </c>
      <c r="L109" t="s">
        <v>58</v>
      </c>
      <c r="M109" t="b">
        <v>0</v>
      </c>
      <c r="N109">
        <v>12654000</v>
      </c>
      <c r="O109" t="b">
        <f t="shared" si="2"/>
        <v>1</v>
      </c>
      <c r="P109">
        <v>112480</v>
      </c>
      <c r="Q109">
        <f t="shared" si="3"/>
        <v>0</v>
      </c>
      <c r="R109">
        <v>0</v>
      </c>
      <c r="S109">
        <v>10</v>
      </c>
      <c r="T109" t="b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43310</v>
      </c>
      <c r="AC109">
        <v>340</v>
      </c>
      <c r="AD109">
        <v>6100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29280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29330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4120</v>
      </c>
    </row>
    <row r="110" spans="1:56" x14ac:dyDescent="0.3">
      <c r="A110" t="s">
        <v>82</v>
      </c>
      <c r="B110" t="s">
        <v>56</v>
      </c>
      <c r="C110">
        <v>2082</v>
      </c>
      <c r="D110">
        <v>7</v>
      </c>
      <c r="E110">
        <v>4</v>
      </c>
      <c r="F110" t="s">
        <v>67</v>
      </c>
      <c r="G110">
        <v>145931</v>
      </c>
      <c r="H110">
        <v>100</v>
      </c>
      <c r="I110">
        <v>180</v>
      </c>
      <c r="J110">
        <v>136.84</v>
      </c>
      <c r="K110" t="s">
        <v>58</v>
      </c>
      <c r="L110" t="s">
        <v>58</v>
      </c>
      <c r="M110" t="b">
        <v>0</v>
      </c>
      <c r="N110">
        <v>19969198.039999999</v>
      </c>
      <c r="O110" t="b">
        <f t="shared" si="2"/>
        <v>1</v>
      </c>
      <c r="P110">
        <v>145931</v>
      </c>
      <c r="Q110">
        <f t="shared" si="3"/>
        <v>0</v>
      </c>
      <c r="R110">
        <v>0.15246931769123701</v>
      </c>
      <c r="S110">
        <v>10</v>
      </c>
      <c r="T110" t="b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51081</v>
      </c>
      <c r="AC110">
        <v>0</v>
      </c>
      <c r="AD110">
        <v>0</v>
      </c>
      <c r="AE110">
        <v>22250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27980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43800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820</v>
      </c>
    </row>
    <row r="111" spans="1:56" x14ac:dyDescent="0.3">
      <c r="A111" t="s">
        <v>82</v>
      </c>
      <c r="B111" t="s">
        <v>56</v>
      </c>
      <c r="C111">
        <v>2082</v>
      </c>
      <c r="D111">
        <v>8</v>
      </c>
      <c r="E111">
        <v>5</v>
      </c>
      <c r="F111" t="s">
        <v>68</v>
      </c>
      <c r="G111">
        <v>149385</v>
      </c>
      <c r="H111">
        <v>130</v>
      </c>
      <c r="I111">
        <v>180</v>
      </c>
      <c r="J111">
        <v>146.32</v>
      </c>
      <c r="K111" t="s">
        <v>58</v>
      </c>
      <c r="L111" t="s">
        <v>58</v>
      </c>
      <c r="M111" t="b">
        <v>0</v>
      </c>
      <c r="N111">
        <v>21858013.199999999</v>
      </c>
      <c r="O111" t="b">
        <f t="shared" si="2"/>
        <v>1</v>
      </c>
      <c r="P111">
        <v>149385</v>
      </c>
      <c r="Q111">
        <f t="shared" si="3"/>
        <v>0</v>
      </c>
      <c r="R111">
        <v>0.38815811493791202</v>
      </c>
      <c r="S111">
        <v>10</v>
      </c>
      <c r="T111" t="b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44440</v>
      </c>
      <c r="AC111">
        <v>0</v>
      </c>
      <c r="AD111">
        <v>0</v>
      </c>
      <c r="AE111">
        <v>57985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12915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34045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</row>
    <row r="112" spans="1:56" x14ac:dyDescent="0.3">
      <c r="A112" t="s">
        <v>82</v>
      </c>
      <c r="B112" t="s">
        <v>56</v>
      </c>
      <c r="C112">
        <v>2082</v>
      </c>
      <c r="D112">
        <v>9</v>
      </c>
      <c r="E112">
        <v>6</v>
      </c>
      <c r="F112" t="s">
        <v>57</v>
      </c>
      <c r="G112">
        <v>92743</v>
      </c>
      <c r="H112">
        <v>130</v>
      </c>
      <c r="I112">
        <v>150</v>
      </c>
      <c r="J112">
        <v>140</v>
      </c>
      <c r="K112" t="s">
        <v>58</v>
      </c>
      <c r="L112" t="s">
        <v>58</v>
      </c>
      <c r="M112" t="b">
        <v>0</v>
      </c>
      <c r="N112">
        <v>12984020</v>
      </c>
      <c r="O112" t="b">
        <f t="shared" si="2"/>
        <v>1</v>
      </c>
      <c r="P112">
        <v>92743</v>
      </c>
      <c r="Q112">
        <f t="shared" si="3"/>
        <v>0</v>
      </c>
      <c r="R112">
        <v>0.66380211983653703</v>
      </c>
      <c r="S112">
        <v>10</v>
      </c>
      <c r="T112" t="b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6725</v>
      </c>
      <c r="AC112">
        <v>0</v>
      </c>
      <c r="AD112">
        <v>0</v>
      </c>
      <c r="AE112">
        <v>61563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1610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22845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 spans="1:56" x14ac:dyDescent="0.3">
      <c r="A113" t="s">
        <v>82</v>
      </c>
      <c r="B113" t="s">
        <v>56</v>
      </c>
      <c r="C113">
        <v>2082</v>
      </c>
      <c r="D113">
        <v>10</v>
      </c>
      <c r="E113">
        <v>7</v>
      </c>
      <c r="F113" t="s">
        <v>59</v>
      </c>
      <c r="G113">
        <v>44360</v>
      </c>
      <c r="H113">
        <v>130</v>
      </c>
      <c r="I113">
        <v>250</v>
      </c>
      <c r="J113">
        <v>192.29</v>
      </c>
      <c r="K113" t="s">
        <v>58</v>
      </c>
      <c r="L113" t="s">
        <v>58</v>
      </c>
      <c r="M113" t="b">
        <v>0</v>
      </c>
      <c r="N113">
        <v>8529984.4000000004</v>
      </c>
      <c r="O113" t="b">
        <f t="shared" si="2"/>
        <v>1</v>
      </c>
      <c r="P113">
        <v>44360</v>
      </c>
      <c r="Q113">
        <f t="shared" si="3"/>
        <v>0</v>
      </c>
      <c r="R113">
        <v>0.92031109107303799</v>
      </c>
      <c r="S113">
        <v>10</v>
      </c>
      <c r="T113" t="b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40825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3535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</row>
    <row r="114" spans="1:56" x14ac:dyDescent="0.3">
      <c r="A114" t="s">
        <v>82</v>
      </c>
      <c r="B114" t="s">
        <v>56</v>
      </c>
      <c r="C114">
        <v>2082</v>
      </c>
      <c r="D114">
        <v>11</v>
      </c>
      <c r="E114">
        <v>8</v>
      </c>
      <c r="F114" t="s">
        <v>60</v>
      </c>
      <c r="G114">
        <v>40745</v>
      </c>
      <c r="H114">
        <v>180</v>
      </c>
      <c r="I114">
        <v>250</v>
      </c>
      <c r="J114">
        <v>207.22</v>
      </c>
      <c r="K114" t="s">
        <v>58</v>
      </c>
      <c r="L114" t="s">
        <v>58</v>
      </c>
      <c r="M114" t="b">
        <v>0</v>
      </c>
      <c r="N114">
        <v>8443178.9000000004</v>
      </c>
      <c r="O114" t="b">
        <f t="shared" si="2"/>
        <v>1</v>
      </c>
      <c r="P114">
        <v>40745</v>
      </c>
      <c r="Q114">
        <f t="shared" si="3"/>
        <v>0</v>
      </c>
      <c r="R114">
        <v>1</v>
      </c>
      <c r="S114">
        <v>10</v>
      </c>
      <c r="T114" t="b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40745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</row>
    <row r="115" spans="1:56" x14ac:dyDescent="0.3">
      <c r="A115" t="s">
        <v>82</v>
      </c>
      <c r="B115" t="s">
        <v>56</v>
      </c>
      <c r="C115">
        <v>2082</v>
      </c>
      <c r="D115">
        <v>12</v>
      </c>
      <c r="E115">
        <v>9</v>
      </c>
      <c r="F115" t="s">
        <v>61</v>
      </c>
      <c r="G115">
        <v>169490</v>
      </c>
      <c r="H115">
        <v>130</v>
      </c>
      <c r="I115">
        <v>220</v>
      </c>
      <c r="J115">
        <v>172.5</v>
      </c>
      <c r="K115" t="s">
        <v>58</v>
      </c>
      <c r="L115" t="s">
        <v>58</v>
      </c>
      <c r="M115" t="b">
        <v>0</v>
      </c>
      <c r="N115">
        <v>29237025</v>
      </c>
      <c r="O115" t="b">
        <f t="shared" si="2"/>
        <v>1</v>
      </c>
      <c r="P115">
        <v>169490</v>
      </c>
      <c r="Q115">
        <f t="shared" si="3"/>
        <v>0</v>
      </c>
      <c r="R115">
        <v>0.44740102660923903</v>
      </c>
      <c r="S115">
        <v>10</v>
      </c>
      <c r="T115" t="b">
        <v>1</v>
      </c>
      <c r="U115">
        <v>0</v>
      </c>
      <c r="V115">
        <v>0</v>
      </c>
      <c r="W115">
        <v>0</v>
      </c>
      <c r="X115">
        <v>0</v>
      </c>
      <c r="Y115">
        <v>8320</v>
      </c>
      <c r="Z115">
        <v>0</v>
      </c>
      <c r="AA115">
        <v>0</v>
      </c>
      <c r="AB115">
        <v>34510</v>
      </c>
      <c r="AC115">
        <v>0</v>
      </c>
      <c r="AD115">
        <v>0</v>
      </c>
      <c r="AE115">
        <v>75830</v>
      </c>
      <c r="AF115">
        <v>0</v>
      </c>
      <c r="AG115">
        <v>3450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47380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</row>
    <row r="116" spans="1:56" x14ac:dyDescent="0.3">
      <c r="A116" t="s">
        <v>82</v>
      </c>
      <c r="B116" t="s">
        <v>56</v>
      </c>
      <c r="C116">
        <v>2083</v>
      </c>
      <c r="D116">
        <v>1</v>
      </c>
      <c r="E116">
        <v>10</v>
      </c>
      <c r="F116" t="s">
        <v>62</v>
      </c>
      <c r="G116">
        <v>184295</v>
      </c>
      <c r="H116">
        <v>30</v>
      </c>
      <c r="I116">
        <v>140</v>
      </c>
      <c r="J116">
        <v>65</v>
      </c>
      <c r="K116" t="s">
        <v>58</v>
      </c>
      <c r="L116" t="s">
        <v>58</v>
      </c>
      <c r="M116" t="b">
        <v>0</v>
      </c>
      <c r="N116">
        <v>11979175</v>
      </c>
      <c r="O116" t="b">
        <f t="shared" si="2"/>
        <v>1</v>
      </c>
      <c r="P116">
        <v>184295</v>
      </c>
      <c r="Q116">
        <f t="shared" si="3"/>
        <v>0</v>
      </c>
      <c r="R116">
        <v>6.8260126427738099E-2</v>
      </c>
      <c r="S116">
        <v>10</v>
      </c>
      <c r="T116" t="b">
        <v>1</v>
      </c>
      <c r="U116">
        <v>0</v>
      </c>
      <c r="V116">
        <v>0</v>
      </c>
      <c r="W116">
        <v>0</v>
      </c>
      <c r="X116">
        <v>0</v>
      </c>
      <c r="Y116">
        <v>34650</v>
      </c>
      <c r="Z116">
        <v>0</v>
      </c>
      <c r="AA116">
        <v>0</v>
      </c>
      <c r="AB116">
        <v>60470</v>
      </c>
      <c r="AC116">
        <v>9515</v>
      </c>
      <c r="AD116">
        <v>0</v>
      </c>
      <c r="AE116">
        <v>12580</v>
      </c>
      <c r="AF116">
        <v>0</v>
      </c>
      <c r="AG116">
        <v>280</v>
      </c>
      <c r="AH116">
        <v>0</v>
      </c>
      <c r="AI116">
        <v>0</v>
      </c>
      <c r="AJ116">
        <v>0</v>
      </c>
      <c r="AK116">
        <v>5750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61050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</row>
    <row r="117" spans="1:56" x14ac:dyDescent="0.3">
      <c r="A117" t="s">
        <v>83</v>
      </c>
      <c r="B117" t="s">
        <v>56</v>
      </c>
      <c r="C117">
        <v>2082</v>
      </c>
      <c r="D117">
        <v>4</v>
      </c>
      <c r="E117">
        <v>1</v>
      </c>
      <c r="F117" t="s">
        <v>70</v>
      </c>
      <c r="G117">
        <v>194975</v>
      </c>
      <c r="H117">
        <v>40</v>
      </c>
      <c r="I117">
        <v>100</v>
      </c>
      <c r="J117">
        <v>59.8</v>
      </c>
      <c r="K117" t="s">
        <v>58</v>
      </c>
      <c r="L117" t="s">
        <v>58</v>
      </c>
      <c r="M117" t="b">
        <v>0</v>
      </c>
      <c r="N117">
        <v>11659505</v>
      </c>
      <c r="O117" t="b">
        <f t="shared" si="2"/>
        <v>1</v>
      </c>
      <c r="P117">
        <v>194975</v>
      </c>
      <c r="Q117">
        <f t="shared" si="3"/>
        <v>0</v>
      </c>
      <c r="R117">
        <v>1.7515066034106901E-2</v>
      </c>
      <c r="S117">
        <v>10</v>
      </c>
      <c r="T117" t="b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77435</v>
      </c>
      <c r="AC117">
        <v>670</v>
      </c>
      <c r="AD117">
        <v>3795</v>
      </c>
      <c r="AE117">
        <v>3415</v>
      </c>
      <c r="AF117">
        <v>0</v>
      </c>
      <c r="AG117">
        <v>2625</v>
      </c>
      <c r="AH117">
        <v>0</v>
      </c>
      <c r="AI117">
        <v>0</v>
      </c>
      <c r="AJ117">
        <v>0</v>
      </c>
      <c r="AK117">
        <v>30245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69200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450</v>
      </c>
      <c r="BA117">
        <v>0</v>
      </c>
      <c r="BB117">
        <v>0</v>
      </c>
      <c r="BC117">
        <v>0</v>
      </c>
      <c r="BD117">
        <v>7140</v>
      </c>
    </row>
    <row r="118" spans="1:56" x14ac:dyDescent="0.3">
      <c r="A118" t="s">
        <v>83</v>
      </c>
      <c r="B118" t="s">
        <v>56</v>
      </c>
      <c r="C118">
        <v>2082</v>
      </c>
      <c r="D118">
        <v>5</v>
      </c>
      <c r="E118">
        <v>2</v>
      </c>
      <c r="F118" t="s">
        <v>65</v>
      </c>
      <c r="G118">
        <v>145570</v>
      </c>
      <c r="H118">
        <v>40</v>
      </c>
      <c r="I118">
        <v>100</v>
      </c>
      <c r="J118">
        <v>51.13</v>
      </c>
      <c r="K118" t="s">
        <v>58</v>
      </c>
      <c r="L118" t="s">
        <v>58</v>
      </c>
      <c r="M118" t="b">
        <v>0</v>
      </c>
      <c r="N118">
        <v>7442994.0999999996</v>
      </c>
      <c r="O118" t="b">
        <f t="shared" si="2"/>
        <v>1</v>
      </c>
      <c r="P118">
        <v>145570</v>
      </c>
      <c r="Q118">
        <f t="shared" si="3"/>
        <v>0</v>
      </c>
      <c r="R118">
        <v>0.23140070069382401</v>
      </c>
      <c r="S118">
        <v>10</v>
      </c>
      <c r="T118" t="b">
        <v>1</v>
      </c>
      <c r="U118">
        <v>0</v>
      </c>
      <c r="V118">
        <v>0</v>
      </c>
      <c r="W118">
        <v>0</v>
      </c>
      <c r="X118">
        <v>0</v>
      </c>
      <c r="Y118">
        <v>2280</v>
      </c>
      <c r="Z118">
        <v>0</v>
      </c>
      <c r="AA118">
        <v>0</v>
      </c>
      <c r="AB118">
        <v>46025</v>
      </c>
      <c r="AC118">
        <v>580</v>
      </c>
      <c r="AD118">
        <v>1700</v>
      </c>
      <c r="AE118">
        <v>33685</v>
      </c>
      <c r="AF118">
        <v>0</v>
      </c>
      <c r="AG118">
        <v>1800</v>
      </c>
      <c r="AH118">
        <v>0</v>
      </c>
      <c r="AI118">
        <v>0</v>
      </c>
      <c r="AJ118">
        <v>0</v>
      </c>
      <c r="AK118">
        <v>16410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40600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2490</v>
      </c>
    </row>
    <row r="119" spans="1:56" x14ac:dyDescent="0.3">
      <c r="A119" t="s">
        <v>83</v>
      </c>
      <c r="B119" t="s">
        <v>56</v>
      </c>
      <c r="C119">
        <v>2082</v>
      </c>
      <c r="D119">
        <v>6</v>
      </c>
      <c r="E119">
        <v>3</v>
      </c>
      <c r="F119" t="s">
        <v>66</v>
      </c>
      <c r="G119">
        <v>103450</v>
      </c>
      <c r="H119">
        <v>60</v>
      </c>
      <c r="I119">
        <v>140</v>
      </c>
      <c r="J119">
        <v>94.38</v>
      </c>
      <c r="K119" t="s">
        <v>58</v>
      </c>
      <c r="L119" t="s">
        <v>58</v>
      </c>
      <c r="M119" t="b">
        <v>0</v>
      </c>
      <c r="N119">
        <v>9763611</v>
      </c>
      <c r="O119" t="b">
        <f t="shared" si="2"/>
        <v>1</v>
      </c>
      <c r="P119">
        <v>103450</v>
      </c>
      <c r="Q119">
        <f t="shared" si="3"/>
        <v>0</v>
      </c>
      <c r="R119">
        <v>0.186321894635089</v>
      </c>
      <c r="S119">
        <v>10</v>
      </c>
      <c r="T119" t="b">
        <v>1</v>
      </c>
      <c r="U119">
        <v>0</v>
      </c>
      <c r="V119">
        <v>0</v>
      </c>
      <c r="W119">
        <v>0</v>
      </c>
      <c r="X119">
        <v>0</v>
      </c>
      <c r="Y119">
        <v>1420</v>
      </c>
      <c r="Z119">
        <v>0</v>
      </c>
      <c r="AA119">
        <v>0</v>
      </c>
      <c r="AB119">
        <v>37335</v>
      </c>
      <c r="AC119">
        <v>0</v>
      </c>
      <c r="AD119">
        <v>875</v>
      </c>
      <c r="AE119">
        <v>19275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8475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33230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2840</v>
      </c>
    </row>
    <row r="120" spans="1:56" x14ac:dyDescent="0.3">
      <c r="A120" t="s">
        <v>83</v>
      </c>
      <c r="B120" t="s">
        <v>56</v>
      </c>
      <c r="C120">
        <v>2082</v>
      </c>
      <c r="D120">
        <v>7</v>
      </c>
      <c r="E120">
        <v>4</v>
      </c>
      <c r="F120" t="s">
        <v>67</v>
      </c>
      <c r="G120">
        <v>154423</v>
      </c>
      <c r="H120">
        <v>100</v>
      </c>
      <c r="I120">
        <v>140</v>
      </c>
      <c r="J120">
        <v>115.26</v>
      </c>
      <c r="K120" t="s">
        <v>58</v>
      </c>
      <c r="L120" t="s">
        <v>58</v>
      </c>
      <c r="M120" t="b">
        <v>0</v>
      </c>
      <c r="N120">
        <v>17798794.98</v>
      </c>
      <c r="O120" t="b">
        <f t="shared" si="2"/>
        <v>1</v>
      </c>
      <c r="P120">
        <v>154423</v>
      </c>
      <c r="Q120">
        <f t="shared" si="3"/>
        <v>0</v>
      </c>
      <c r="R120">
        <v>0.27113836669407998</v>
      </c>
      <c r="S120">
        <v>10</v>
      </c>
      <c r="T120" t="b">
        <v>1</v>
      </c>
      <c r="U120">
        <v>0</v>
      </c>
      <c r="V120">
        <v>0</v>
      </c>
      <c r="W120">
        <v>0</v>
      </c>
      <c r="X120">
        <v>0</v>
      </c>
      <c r="Y120">
        <v>1330</v>
      </c>
      <c r="Z120">
        <v>0</v>
      </c>
      <c r="AA120">
        <v>0</v>
      </c>
      <c r="AB120">
        <v>49338</v>
      </c>
      <c r="AC120">
        <v>420</v>
      </c>
      <c r="AD120">
        <v>0</v>
      </c>
      <c r="AE120">
        <v>41870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16035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44440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990</v>
      </c>
    </row>
    <row r="121" spans="1:56" x14ac:dyDescent="0.3">
      <c r="A121" t="s">
        <v>83</v>
      </c>
      <c r="B121" t="s">
        <v>56</v>
      </c>
      <c r="C121">
        <v>2082</v>
      </c>
      <c r="D121">
        <v>8</v>
      </c>
      <c r="E121">
        <v>5</v>
      </c>
      <c r="F121" t="s">
        <v>68</v>
      </c>
      <c r="G121">
        <v>193464</v>
      </c>
      <c r="H121">
        <v>80</v>
      </c>
      <c r="I121">
        <v>130</v>
      </c>
      <c r="J121">
        <v>109.21</v>
      </c>
      <c r="K121" t="s">
        <v>58</v>
      </c>
      <c r="L121" t="s">
        <v>58</v>
      </c>
      <c r="M121" t="b">
        <v>0</v>
      </c>
      <c r="N121">
        <v>21128203.439999901</v>
      </c>
      <c r="O121" t="b">
        <f t="shared" si="2"/>
        <v>1</v>
      </c>
      <c r="P121">
        <v>193464</v>
      </c>
      <c r="Q121">
        <f t="shared" si="3"/>
        <v>0</v>
      </c>
      <c r="R121">
        <v>0.27329632386387098</v>
      </c>
      <c r="S121">
        <v>10</v>
      </c>
      <c r="T121" t="b">
        <v>1</v>
      </c>
      <c r="U121">
        <v>0</v>
      </c>
      <c r="V121">
        <v>0</v>
      </c>
      <c r="W121">
        <v>0</v>
      </c>
      <c r="X121">
        <v>0</v>
      </c>
      <c r="Y121">
        <v>3411</v>
      </c>
      <c r="Z121">
        <v>0</v>
      </c>
      <c r="AA121">
        <v>0</v>
      </c>
      <c r="AB121">
        <v>60190</v>
      </c>
      <c r="AC121">
        <v>0</v>
      </c>
      <c r="AD121">
        <v>0</v>
      </c>
      <c r="AE121">
        <v>52873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29610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47140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240</v>
      </c>
    </row>
    <row r="122" spans="1:56" x14ac:dyDescent="0.3">
      <c r="A122" t="s">
        <v>83</v>
      </c>
      <c r="B122" t="s">
        <v>56</v>
      </c>
      <c r="C122">
        <v>2082</v>
      </c>
      <c r="D122">
        <v>9</v>
      </c>
      <c r="E122">
        <v>6</v>
      </c>
      <c r="F122" t="s">
        <v>57</v>
      </c>
      <c r="G122">
        <v>186575</v>
      </c>
      <c r="H122">
        <v>80</v>
      </c>
      <c r="I122">
        <v>100</v>
      </c>
      <c r="J122">
        <v>90</v>
      </c>
      <c r="K122" t="s">
        <v>58</v>
      </c>
      <c r="L122" t="s">
        <v>58</v>
      </c>
      <c r="M122" t="b">
        <v>0</v>
      </c>
      <c r="N122">
        <v>16791750</v>
      </c>
      <c r="O122" t="b">
        <f t="shared" si="2"/>
        <v>0</v>
      </c>
      <c r="P122">
        <v>186755</v>
      </c>
      <c r="Q122">
        <f t="shared" si="3"/>
        <v>180</v>
      </c>
      <c r="R122">
        <v>0.33538593344221002</v>
      </c>
      <c r="S122">
        <v>10</v>
      </c>
      <c r="T122" t="b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59640</v>
      </c>
      <c r="AC122">
        <v>0</v>
      </c>
      <c r="AD122">
        <v>0</v>
      </c>
      <c r="AE122">
        <v>62635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16560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47920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</row>
    <row r="123" spans="1:56" x14ac:dyDescent="0.3">
      <c r="A123" t="s">
        <v>83</v>
      </c>
      <c r="B123" t="s">
        <v>56</v>
      </c>
      <c r="C123">
        <v>2082</v>
      </c>
      <c r="D123">
        <v>10</v>
      </c>
      <c r="E123">
        <v>7</v>
      </c>
      <c r="F123" t="s">
        <v>59</v>
      </c>
      <c r="G123">
        <v>121950</v>
      </c>
      <c r="H123">
        <v>80</v>
      </c>
      <c r="I123">
        <v>100</v>
      </c>
      <c r="J123">
        <v>90</v>
      </c>
      <c r="K123" t="s">
        <v>58</v>
      </c>
      <c r="L123" t="s">
        <v>58</v>
      </c>
      <c r="M123" t="b">
        <v>0</v>
      </c>
      <c r="N123">
        <v>10975500</v>
      </c>
      <c r="O123" t="b">
        <f t="shared" si="2"/>
        <v>1</v>
      </c>
      <c r="P123">
        <v>121950</v>
      </c>
      <c r="Q123">
        <f t="shared" si="3"/>
        <v>0</v>
      </c>
      <c r="R123">
        <v>0.35604756047560399</v>
      </c>
      <c r="S123">
        <v>10</v>
      </c>
      <c r="T123" t="b">
        <v>1</v>
      </c>
      <c r="U123">
        <v>0</v>
      </c>
      <c r="V123">
        <v>0</v>
      </c>
      <c r="W123">
        <v>0</v>
      </c>
      <c r="X123">
        <v>0</v>
      </c>
      <c r="Y123">
        <v>1810</v>
      </c>
      <c r="Z123">
        <v>0</v>
      </c>
      <c r="AA123">
        <v>0</v>
      </c>
      <c r="AB123">
        <v>19375</v>
      </c>
      <c r="AC123">
        <v>650</v>
      </c>
      <c r="AD123">
        <v>1120</v>
      </c>
      <c r="AE123">
        <v>43420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8110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47465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</row>
    <row r="124" spans="1:56" x14ac:dyDescent="0.3">
      <c r="A124" t="s">
        <v>83</v>
      </c>
      <c r="B124" t="s">
        <v>56</v>
      </c>
      <c r="C124">
        <v>2082</v>
      </c>
      <c r="D124">
        <v>11</v>
      </c>
      <c r="E124">
        <v>8</v>
      </c>
      <c r="F124" t="s">
        <v>60</v>
      </c>
      <c r="G124">
        <v>88255</v>
      </c>
      <c r="H124">
        <v>80</v>
      </c>
      <c r="I124">
        <v>100</v>
      </c>
      <c r="J124">
        <v>90</v>
      </c>
      <c r="K124" t="s">
        <v>58</v>
      </c>
      <c r="L124" t="s">
        <v>58</v>
      </c>
      <c r="M124" t="b">
        <v>0</v>
      </c>
      <c r="N124">
        <v>7942950</v>
      </c>
      <c r="O124" t="b">
        <f t="shared" si="2"/>
        <v>1</v>
      </c>
      <c r="P124">
        <v>88255</v>
      </c>
      <c r="Q124">
        <f t="shared" si="3"/>
        <v>0</v>
      </c>
      <c r="R124">
        <v>0.39975072233867698</v>
      </c>
      <c r="S124">
        <v>10</v>
      </c>
      <c r="T124" t="b">
        <v>1</v>
      </c>
      <c r="U124">
        <v>0</v>
      </c>
      <c r="V124">
        <v>0</v>
      </c>
      <c r="W124">
        <v>0</v>
      </c>
      <c r="X124">
        <v>0</v>
      </c>
      <c r="Y124">
        <v>7150</v>
      </c>
      <c r="Z124">
        <v>0</v>
      </c>
      <c r="AA124">
        <v>0</v>
      </c>
      <c r="AB124">
        <v>1180</v>
      </c>
      <c r="AC124">
        <v>0</v>
      </c>
      <c r="AD124">
        <v>1140</v>
      </c>
      <c r="AE124">
        <v>35280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10790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32715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</row>
    <row r="125" spans="1:56" x14ac:dyDescent="0.3">
      <c r="A125" t="s">
        <v>83</v>
      </c>
      <c r="B125" t="s">
        <v>56</v>
      </c>
      <c r="C125">
        <v>2082</v>
      </c>
      <c r="D125">
        <v>12</v>
      </c>
      <c r="E125">
        <v>9</v>
      </c>
      <c r="F125" t="s">
        <v>61</v>
      </c>
      <c r="G125">
        <v>202918</v>
      </c>
      <c r="H125">
        <v>80</v>
      </c>
      <c r="I125">
        <v>120</v>
      </c>
      <c r="J125">
        <v>102.73</v>
      </c>
      <c r="K125" t="s">
        <v>58</v>
      </c>
      <c r="L125" t="s">
        <v>58</v>
      </c>
      <c r="M125" t="b">
        <v>0</v>
      </c>
      <c r="N125">
        <v>20845766.140000001</v>
      </c>
      <c r="O125" t="b">
        <f t="shared" si="2"/>
        <v>1</v>
      </c>
      <c r="P125">
        <v>202918</v>
      </c>
      <c r="Q125">
        <f t="shared" si="3"/>
        <v>0</v>
      </c>
      <c r="R125">
        <v>0.31542297874017999</v>
      </c>
      <c r="S125">
        <v>10</v>
      </c>
      <c r="T125" t="b">
        <v>1</v>
      </c>
      <c r="U125">
        <v>0</v>
      </c>
      <c r="V125">
        <v>0</v>
      </c>
      <c r="W125">
        <v>0</v>
      </c>
      <c r="X125">
        <v>0</v>
      </c>
      <c r="Y125">
        <v>15740</v>
      </c>
      <c r="Z125">
        <v>0</v>
      </c>
      <c r="AA125">
        <v>0</v>
      </c>
      <c r="AB125">
        <v>42655</v>
      </c>
      <c r="AC125">
        <v>0</v>
      </c>
      <c r="AD125">
        <v>0</v>
      </c>
      <c r="AE125">
        <v>64005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21930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58588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</row>
    <row r="126" spans="1:56" x14ac:dyDescent="0.3">
      <c r="A126" t="s">
        <v>83</v>
      </c>
      <c r="B126" t="s">
        <v>56</v>
      </c>
      <c r="C126">
        <v>2083</v>
      </c>
      <c r="D126">
        <v>1</v>
      </c>
      <c r="E126">
        <v>10</v>
      </c>
      <c r="F126" t="s">
        <v>62</v>
      </c>
      <c r="G126">
        <v>194230</v>
      </c>
      <c r="H126">
        <v>40</v>
      </c>
      <c r="I126">
        <v>100</v>
      </c>
      <c r="J126">
        <v>62.17</v>
      </c>
      <c r="K126" t="s">
        <v>58</v>
      </c>
      <c r="L126" t="s">
        <v>58</v>
      </c>
      <c r="M126" t="b">
        <v>0</v>
      </c>
      <c r="N126">
        <v>12075279.1</v>
      </c>
      <c r="O126" t="b">
        <f t="shared" si="2"/>
        <v>1</v>
      </c>
      <c r="P126">
        <v>194230</v>
      </c>
      <c r="Q126">
        <f t="shared" si="3"/>
        <v>0</v>
      </c>
      <c r="R126">
        <v>0.27917932348246899</v>
      </c>
      <c r="S126">
        <v>10</v>
      </c>
      <c r="T126" t="b">
        <v>1</v>
      </c>
      <c r="U126">
        <v>0</v>
      </c>
      <c r="V126">
        <v>0</v>
      </c>
      <c r="W126">
        <v>0</v>
      </c>
      <c r="X126">
        <v>0</v>
      </c>
      <c r="Y126">
        <v>3230</v>
      </c>
      <c r="Z126">
        <v>0</v>
      </c>
      <c r="AA126">
        <v>0</v>
      </c>
      <c r="AB126">
        <v>52295</v>
      </c>
      <c r="AC126">
        <v>0</v>
      </c>
      <c r="AD126">
        <v>0</v>
      </c>
      <c r="AE126">
        <v>54225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28675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55225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580</v>
      </c>
      <c r="BA126">
        <v>0</v>
      </c>
      <c r="BB126">
        <v>0</v>
      </c>
      <c r="BC126">
        <v>0</v>
      </c>
      <c r="BD126">
        <v>0</v>
      </c>
    </row>
    <row r="127" spans="1:56" x14ac:dyDescent="0.3">
      <c r="A127" t="s">
        <v>84</v>
      </c>
      <c r="B127" t="s">
        <v>56</v>
      </c>
      <c r="C127">
        <v>2082</v>
      </c>
      <c r="D127">
        <v>4</v>
      </c>
      <c r="E127">
        <v>1</v>
      </c>
      <c r="F127" t="s">
        <v>70</v>
      </c>
      <c r="G127">
        <v>0</v>
      </c>
      <c r="H127">
        <v>50</v>
      </c>
      <c r="I127">
        <v>80</v>
      </c>
      <c r="J127">
        <v>56.6</v>
      </c>
      <c r="K127" t="s">
        <v>58</v>
      </c>
      <c r="L127" t="s">
        <v>58</v>
      </c>
      <c r="M127" t="b">
        <v>0</v>
      </c>
      <c r="N127">
        <v>0</v>
      </c>
      <c r="O127" t="b">
        <f t="shared" si="2"/>
        <v>1</v>
      </c>
      <c r="P127">
        <v>0</v>
      </c>
      <c r="Q127">
        <f t="shared" si="3"/>
        <v>0</v>
      </c>
      <c r="S127">
        <v>4</v>
      </c>
      <c r="T127" t="b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</row>
    <row r="128" spans="1:56" x14ac:dyDescent="0.3">
      <c r="A128" t="s">
        <v>84</v>
      </c>
      <c r="B128" t="s">
        <v>56</v>
      </c>
      <c r="C128">
        <v>2082</v>
      </c>
      <c r="D128">
        <v>6</v>
      </c>
      <c r="E128">
        <v>3</v>
      </c>
      <c r="F128" t="s">
        <v>66</v>
      </c>
      <c r="G128">
        <v>0</v>
      </c>
      <c r="H128">
        <v>80</v>
      </c>
      <c r="I128">
        <v>120</v>
      </c>
      <c r="J128">
        <v>95</v>
      </c>
      <c r="K128" t="s">
        <v>58</v>
      </c>
      <c r="L128" t="s">
        <v>58</v>
      </c>
      <c r="M128" t="b">
        <v>0</v>
      </c>
      <c r="N128">
        <v>0</v>
      </c>
      <c r="O128" t="b">
        <f t="shared" si="2"/>
        <v>1</v>
      </c>
      <c r="P128">
        <v>0</v>
      </c>
      <c r="Q128">
        <f t="shared" si="3"/>
        <v>0</v>
      </c>
      <c r="S128">
        <v>4</v>
      </c>
      <c r="T128" t="b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</row>
    <row r="129" spans="1:56" x14ac:dyDescent="0.3">
      <c r="A129" t="s">
        <v>84</v>
      </c>
      <c r="B129" t="s">
        <v>56</v>
      </c>
      <c r="C129">
        <v>2082</v>
      </c>
      <c r="D129">
        <v>8</v>
      </c>
      <c r="E129">
        <v>5</v>
      </c>
      <c r="F129" t="s">
        <v>68</v>
      </c>
      <c r="G129">
        <v>0</v>
      </c>
      <c r="H129">
        <v>80</v>
      </c>
      <c r="I129">
        <v>120</v>
      </c>
      <c r="J129">
        <v>107.89</v>
      </c>
      <c r="K129" t="s">
        <v>58</v>
      </c>
      <c r="L129" t="s">
        <v>58</v>
      </c>
      <c r="M129" t="b">
        <v>0</v>
      </c>
      <c r="N129">
        <v>0</v>
      </c>
      <c r="O129" t="b">
        <f t="shared" si="2"/>
        <v>1</v>
      </c>
      <c r="P129">
        <v>0</v>
      </c>
      <c r="Q129">
        <f t="shared" si="3"/>
        <v>0</v>
      </c>
      <c r="S129">
        <v>4</v>
      </c>
      <c r="T129" t="b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</row>
    <row r="130" spans="1:56" x14ac:dyDescent="0.3">
      <c r="A130" t="s">
        <v>84</v>
      </c>
      <c r="B130" t="s">
        <v>56</v>
      </c>
      <c r="C130">
        <v>2082</v>
      </c>
      <c r="D130">
        <v>10</v>
      </c>
      <c r="E130">
        <v>7</v>
      </c>
      <c r="F130" t="s">
        <v>59</v>
      </c>
      <c r="G130">
        <v>0</v>
      </c>
      <c r="H130">
        <v>80</v>
      </c>
      <c r="I130">
        <v>100</v>
      </c>
      <c r="J130">
        <v>90</v>
      </c>
      <c r="K130" t="s">
        <v>58</v>
      </c>
      <c r="L130" t="s">
        <v>58</v>
      </c>
      <c r="M130" t="b">
        <v>0</v>
      </c>
      <c r="N130">
        <v>0</v>
      </c>
      <c r="O130" t="b">
        <f t="shared" ref="O130:O193" si="4">IF(P130=G130,TRUE,FALSE)</f>
        <v>1</v>
      </c>
      <c r="P130">
        <v>0</v>
      </c>
      <c r="Q130">
        <f t="shared" si="3"/>
        <v>0</v>
      </c>
      <c r="S130">
        <v>4</v>
      </c>
      <c r="T130" t="b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 spans="1:56" x14ac:dyDescent="0.3">
      <c r="A131" t="s">
        <v>85</v>
      </c>
      <c r="B131" t="s">
        <v>56</v>
      </c>
      <c r="C131">
        <v>2082</v>
      </c>
      <c r="D131">
        <v>4</v>
      </c>
      <c r="E131">
        <v>1</v>
      </c>
      <c r="F131" t="s">
        <v>70</v>
      </c>
      <c r="G131">
        <v>192420</v>
      </c>
      <c r="H131">
        <v>30</v>
      </c>
      <c r="I131">
        <v>70</v>
      </c>
      <c r="J131">
        <v>43.4</v>
      </c>
      <c r="K131" t="s">
        <v>58</v>
      </c>
      <c r="L131" t="s">
        <v>58</v>
      </c>
      <c r="M131" t="b">
        <v>1</v>
      </c>
      <c r="N131">
        <v>8351028</v>
      </c>
      <c r="O131" t="b">
        <f t="shared" si="4"/>
        <v>1</v>
      </c>
      <c r="P131">
        <v>192420</v>
      </c>
      <c r="Q131">
        <f t="shared" si="3"/>
        <v>0</v>
      </c>
      <c r="R131">
        <v>0</v>
      </c>
      <c r="S131">
        <v>10</v>
      </c>
      <c r="T131" t="b">
        <v>1</v>
      </c>
      <c r="U131">
        <v>0</v>
      </c>
      <c r="V131">
        <v>0</v>
      </c>
      <c r="W131">
        <v>0</v>
      </c>
      <c r="X131">
        <v>0</v>
      </c>
      <c r="Y131">
        <v>9410</v>
      </c>
      <c r="Z131">
        <v>0</v>
      </c>
      <c r="AA131">
        <v>0</v>
      </c>
      <c r="AB131">
        <v>58295</v>
      </c>
      <c r="AC131">
        <v>370</v>
      </c>
      <c r="AD131">
        <v>6040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53795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53645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7885</v>
      </c>
      <c r="BA131">
        <v>0</v>
      </c>
      <c r="BB131">
        <v>0</v>
      </c>
      <c r="BC131">
        <v>0</v>
      </c>
      <c r="BD131">
        <v>2980</v>
      </c>
    </row>
    <row r="132" spans="1:56" x14ac:dyDescent="0.3">
      <c r="A132" t="s">
        <v>85</v>
      </c>
      <c r="B132" t="s">
        <v>56</v>
      </c>
      <c r="C132">
        <v>2082</v>
      </c>
      <c r="D132">
        <v>5</v>
      </c>
      <c r="E132">
        <v>2</v>
      </c>
      <c r="F132" t="s">
        <v>65</v>
      </c>
      <c r="G132">
        <v>112938</v>
      </c>
      <c r="H132">
        <v>30</v>
      </c>
      <c r="I132">
        <v>80</v>
      </c>
      <c r="J132">
        <v>51.08</v>
      </c>
      <c r="K132" t="s">
        <v>58</v>
      </c>
      <c r="L132" t="s">
        <v>58</v>
      </c>
      <c r="M132" t="b">
        <v>1</v>
      </c>
      <c r="N132">
        <v>5768873.04</v>
      </c>
      <c r="O132" t="b">
        <f t="shared" si="4"/>
        <v>1</v>
      </c>
      <c r="P132">
        <v>112938</v>
      </c>
      <c r="Q132">
        <f t="shared" si="3"/>
        <v>0</v>
      </c>
      <c r="R132">
        <v>5.9988666347907699E-2</v>
      </c>
      <c r="S132">
        <v>10</v>
      </c>
      <c r="T132" t="b">
        <v>1</v>
      </c>
      <c r="U132">
        <v>0</v>
      </c>
      <c r="V132">
        <v>0</v>
      </c>
      <c r="W132">
        <v>0</v>
      </c>
      <c r="X132">
        <v>0</v>
      </c>
      <c r="Y132">
        <v>10180</v>
      </c>
      <c r="Z132">
        <v>0</v>
      </c>
      <c r="AA132">
        <v>0</v>
      </c>
      <c r="AB132">
        <v>31415</v>
      </c>
      <c r="AC132">
        <v>990</v>
      </c>
      <c r="AD132">
        <v>0</v>
      </c>
      <c r="AE132">
        <v>6775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31007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25691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5980</v>
      </c>
      <c r="BA132">
        <v>0</v>
      </c>
      <c r="BB132">
        <v>0</v>
      </c>
      <c r="BC132">
        <v>0</v>
      </c>
      <c r="BD132">
        <v>900</v>
      </c>
    </row>
    <row r="133" spans="1:56" x14ac:dyDescent="0.3">
      <c r="A133" t="s">
        <v>85</v>
      </c>
      <c r="B133" t="s">
        <v>56</v>
      </c>
      <c r="C133">
        <v>2082</v>
      </c>
      <c r="D133">
        <v>6</v>
      </c>
      <c r="E133">
        <v>3</v>
      </c>
      <c r="F133" t="s">
        <v>66</v>
      </c>
      <c r="G133">
        <v>70435</v>
      </c>
      <c r="H133">
        <v>60</v>
      </c>
      <c r="I133">
        <v>120</v>
      </c>
      <c r="J133">
        <v>88.75</v>
      </c>
      <c r="K133" t="s">
        <v>58</v>
      </c>
      <c r="L133" t="s">
        <v>58</v>
      </c>
      <c r="M133" t="b">
        <v>1</v>
      </c>
      <c r="N133">
        <v>6251106.25</v>
      </c>
      <c r="O133" t="b">
        <f t="shared" si="4"/>
        <v>1</v>
      </c>
      <c r="P133">
        <v>70435</v>
      </c>
      <c r="Q133">
        <f t="shared" si="3"/>
        <v>0</v>
      </c>
      <c r="R133">
        <v>1.6185135231064102E-2</v>
      </c>
      <c r="S133">
        <v>10</v>
      </c>
      <c r="T133" t="b">
        <v>1</v>
      </c>
      <c r="U133">
        <v>0</v>
      </c>
      <c r="V133">
        <v>0</v>
      </c>
      <c r="W133">
        <v>0</v>
      </c>
      <c r="X133">
        <v>0</v>
      </c>
      <c r="Y133">
        <v>7005</v>
      </c>
      <c r="Z133">
        <v>0</v>
      </c>
      <c r="AA133">
        <v>0</v>
      </c>
      <c r="AB133">
        <v>29235</v>
      </c>
      <c r="AC133">
        <v>210</v>
      </c>
      <c r="AD133">
        <v>650</v>
      </c>
      <c r="AE133">
        <v>1140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12965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18990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240</v>
      </c>
    </row>
    <row r="134" spans="1:56" x14ac:dyDescent="0.3">
      <c r="A134" t="s">
        <v>85</v>
      </c>
      <c r="B134" t="s">
        <v>56</v>
      </c>
      <c r="C134">
        <v>2082</v>
      </c>
      <c r="D134">
        <v>7</v>
      </c>
      <c r="E134">
        <v>4</v>
      </c>
      <c r="F134" t="s">
        <v>67</v>
      </c>
      <c r="G134">
        <v>122140</v>
      </c>
      <c r="H134">
        <v>60</v>
      </c>
      <c r="I134">
        <v>120</v>
      </c>
      <c r="J134">
        <v>90</v>
      </c>
      <c r="K134" t="s">
        <v>58</v>
      </c>
      <c r="L134" t="s">
        <v>58</v>
      </c>
      <c r="M134" t="b">
        <v>1</v>
      </c>
      <c r="N134">
        <v>10992600</v>
      </c>
      <c r="O134" t="b">
        <f t="shared" si="4"/>
        <v>1</v>
      </c>
      <c r="P134">
        <v>122140</v>
      </c>
      <c r="Q134">
        <f t="shared" si="3"/>
        <v>0</v>
      </c>
      <c r="R134">
        <v>0.19739643032585499</v>
      </c>
      <c r="S134">
        <v>10</v>
      </c>
      <c r="T134" t="b">
        <v>1</v>
      </c>
      <c r="U134">
        <v>0</v>
      </c>
      <c r="V134">
        <v>0</v>
      </c>
      <c r="W134">
        <v>0</v>
      </c>
      <c r="X134">
        <v>0</v>
      </c>
      <c r="Y134">
        <v>13050</v>
      </c>
      <c r="Z134">
        <v>0</v>
      </c>
      <c r="AA134">
        <v>0</v>
      </c>
      <c r="AB134">
        <v>35550</v>
      </c>
      <c r="AC134">
        <v>0</v>
      </c>
      <c r="AD134">
        <v>0</v>
      </c>
      <c r="AE134">
        <v>24110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16390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32830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210</v>
      </c>
    </row>
    <row r="135" spans="1:56" x14ac:dyDescent="0.3">
      <c r="A135" t="s">
        <v>85</v>
      </c>
      <c r="B135" t="s">
        <v>56</v>
      </c>
      <c r="C135">
        <v>2082</v>
      </c>
      <c r="D135">
        <v>8</v>
      </c>
      <c r="E135">
        <v>5</v>
      </c>
      <c r="F135" t="s">
        <v>68</v>
      </c>
      <c r="G135">
        <v>170932</v>
      </c>
      <c r="H135">
        <v>80</v>
      </c>
      <c r="I135">
        <v>150</v>
      </c>
      <c r="J135">
        <v>130.26</v>
      </c>
      <c r="K135" t="s">
        <v>58</v>
      </c>
      <c r="L135" t="s">
        <v>58</v>
      </c>
      <c r="M135" t="b">
        <v>1</v>
      </c>
      <c r="N135">
        <v>22265602.32</v>
      </c>
      <c r="O135" t="b">
        <f t="shared" si="4"/>
        <v>1</v>
      </c>
      <c r="P135">
        <v>170932</v>
      </c>
      <c r="Q135">
        <f t="shared" si="3"/>
        <v>0</v>
      </c>
      <c r="R135">
        <v>0.24556548803032699</v>
      </c>
      <c r="S135">
        <v>10</v>
      </c>
      <c r="T135" t="b">
        <v>1</v>
      </c>
      <c r="U135">
        <v>0</v>
      </c>
      <c r="V135">
        <v>0</v>
      </c>
      <c r="W135">
        <v>0</v>
      </c>
      <c r="X135">
        <v>0</v>
      </c>
      <c r="Y135">
        <v>17887</v>
      </c>
      <c r="Z135">
        <v>0</v>
      </c>
      <c r="AA135">
        <v>0</v>
      </c>
      <c r="AB135">
        <v>43050</v>
      </c>
      <c r="AC135">
        <v>0</v>
      </c>
      <c r="AD135">
        <v>0</v>
      </c>
      <c r="AE135">
        <v>41975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22290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33255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12475</v>
      </c>
      <c r="BA135">
        <v>0</v>
      </c>
      <c r="BB135">
        <v>0</v>
      </c>
      <c r="BC135">
        <v>0</v>
      </c>
      <c r="BD135">
        <v>0</v>
      </c>
    </row>
    <row r="136" spans="1:56" x14ac:dyDescent="0.3">
      <c r="A136" t="s">
        <v>85</v>
      </c>
      <c r="B136" t="s">
        <v>56</v>
      </c>
      <c r="C136">
        <v>2082</v>
      </c>
      <c r="D136">
        <v>9</v>
      </c>
      <c r="E136">
        <v>6</v>
      </c>
      <c r="F136" t="s">
        <v>57</v>
      </c>
      <c r="G136">
        <v>163086</v>
      </c>
      <c r="H136">
        <v>80</v>
      </c>
      <c r="I136">
        <v>100</v>
      </c>
      <c r="J136">
        <v>90</v>
      </c>
      <c r="K136" t="s">
        <v>58</v>
      </c>
      <c r="L136" t="s">
        <v>58</v>
      </c>
      <c r="M136" t="b">
        <v>1</v>
      </c>
      <c r="N136">
        <v>14677740</v>
      </c>
      <c r="O136" t="b">
        <f t="shared" si="4"/>
        <v>1</v>
      </c>
      <c r="P136">
        <v>163086</v>
      </c>
      <c r="Q136">
        <f t="shared" si="3"/>
        <v>0</v>
      </c>
      <c r="R136">
        <v>0.28899476349901199</v>
      </c>
      <c r="S136">
        <v>10</v>
      </c>
      <c r="T136" t="b">
        <v>1</v>
      </c>
      <c r="U136">
        <v>0</v>
      </c>
      <c r="V136">
        <v>0</v>
      </c>
      <c r="W136">
        <v>0</v>
      </c>
      <c r="X136">
        <v>0</v>
      </c>
      <c r="Y136">
        <v>18670</v>
      </c>
      <c r="Z136">
        <v>0</v>
      </c>
      <c r="AA136">
        <v>0</v>
      </c>
      <c r="AB136">
        <v>29520</v>
      </c>
      <c r="AC136">
        <v>0</v>
      </c>
      <c r="AD136">
        <v>0</v>
      </c>
      <c r="AE136">
        <v>47131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13790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45935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8040</v>
      </c>
      <c r="BA136">
        <v>0</v>
      </c>
      <c r="BB136">
        <v>0</v>
      </c>
      <c r="BC136">
        <v>0</v>
      </c>
      <c r="BD136">
        <v>0</v>
      </c>
    </row>
    <row r="137" spans="1:56" x14ac:dyDescent="0.3">
      <c r="A137" t="s">
        <v>85</v>
      </c>
      <c r="B137" t="s">
        <v>56</v>
      </c>
      <c r="C137">
        <v>2082</v>
      </c>
      <c r="D137">
        <v>10</v>
      </c>
      <c r="E137">
        <v>7</v>
      </c>
      <c r="F137" t="s">
        <v>59</v>
      </c>
      <c r="G137">
        <v>112305</v>
      </c>
      <c r="H137">
        <v>60</v>
      </c>
      <c r="I137">
        <v>120</v>
      </c>
      <c r="J137">
        <v>91.14</v>
      </c>
      <c r="K137" t="s">
        <v>58</v>
      </c>
      <c r="L137" t="s">
        <v>58</v>
      </c>
      <c r="M137" t="b">
        <v>1</v>
      </c>
      <c r="N137">
        <v>10235477.699999999</v>
      </c>
      <c r="O137" t="b">
        <f t="shared" si="4"/>
        <v>1</v>
      </c>
      <c r="P137">
        <v>112305</v>
      </c>
      <c r="Q137">
        <f t="shared" si="3"/>
        <v>0</v>
      </c>
      <c r="R137">
        <v>0.40238635857708899</v>
      </c>
      <c r="S137">
        <v>10</v>
      </c>
      <c r="T137" t="b">
        <v>1</v>
      </c>
      <c r="U137">
        <v>0</v>
      </c>
      <c r="V137">
        <v>0</v>
      </c>
      <c r="W137">
        <v>0</v>
      </c>
      <c r="X137">
        <v>0</v>
      </c>
      <c r="Y137">
        <v>12045</v>
      </c>
      <c r="Z137">
        <v>0</v>
      </c>
      <c r="AA137">
        <v>0</v>
      </c>
      <c r="AB137">
        <v>12595</v>
      </c>
      <c r="AC137">
        <v>0</v>
      </c>
      <c r="AD137">
        <v>1150</v>
      </c>
      <c r="AE137">
        <v>45190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4620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33755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2950</v>
      </c>
      <c r="BA137">
        <v>0</v>
      </c>
      <c r="BB137">
        <v>0</v>
      </c>
      <c r="BC137">
        <v>0</v>
      </c>
      <c r="BD137">
        <v>0</v>
      </c>
    </row>
    <row r="138" spans="1:56" x14ac:dyDescent="0.3">
      <c r="A138" t="s">
        <v>85</v>
      </c>
      <c r="B138" t="s">
        <v>56</v>
      </c>
      <c r="C138">
        <v>2082</v>
      </c>
      <c r="D138">
        <v>11</v>
      </c>
      <c r="E138">
        <v>8</v>
      </c>
      <c r="F138" t="s">
        <v>60</v>
      </c>
      <c r="G138">
        <v>71735</v>
      </c>
      <c r="H138">
        <v>60</v>
      </c>
      <c r="I138">
        <v>120</v>
      </c>
      <c r="J138">
        <v>92.22</v>
      </c>
      <c r="K138" t="s">
        <v>58</v>
      </c>
      <c r="L138" t="s">
        <v>58</v>
      </c>
      <c r="M138" t="b">
        <v>1</v>
      </c>
      <c r="N138">
        <v>6615401.7000000002</v>
      </c>
      <c r="O138" t="b">
        <f t="shared" si="4"/>
        <v>1</v>
      </c>
      <c r="P138">
        <v>71735</v>
      </c>
      <c r="Q138">
        <f t="shared" si="3"/>
        <v>0</v>
      </c>
      <c r="R138">
        <v>0.30494179967937501</v>
      </c>
      <c r="S138">
        <v>10</v>
      </c>
      <c r="T138" t="b">
        <v>1</v>
      </c>
      <c r="U138">
        <v>0</v>
      </c>
      <c r="V138">
        <v>0</v>
      </c>
      <c r="W138">
        <v>0</v>
      </c>
      <c r="X138">
        <v>0</v>
      </c>
      <c r="Y138">
        <v>12995</v>
      </c>
      <c r="Z138">
        <v>0</v>
      </c>
      <c r="AA138">
        <v>0</v>
      </c>
      <c r="AB138">
        <v>0</v>
      </c>
      <c r="AC138">
        <v>0</v>
      </c>
      <c r="AD138">
        <v>1140</v>
      </c>
      <c r="AE138">
        <v>21875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1450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32710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1565</v>
      </c>
      <c r="BA138">
        <v>0</v>
      </c>
      <c r="BB138">
        <v>0</v>
      </c>
      <c r="BC138">
        <v>0</v>
      </c>
      <c r="BD138">
        <v>0</v>
      </c>
    </row>
    <row r="139" spans="1:56" x14ac:dyDescent="0.3">
      <c r="A139" t="s">
        <v>85</v>
      </c>
      <c r="B139" t="s">
        <v>56</v>
      </c>
      <c r="C139">
        <v>2082</v>
      </c>
      <c r="D139">
        <v>12</v>
      </c>
      <c r="E139">
        <v>9</v>
      </c>
      <c r="F139" t="s">
        <v>61</v>
      </c>
      <c r="G139">
        <v>161610</v>
      </c>
      <c r="H139">
        <v>80</v>
      </c>
      <c r="I139">
        <v>100</v>
      </c>
      <c r="J139">
        <v>90</v>
      </c>
      <c r="K139" t="s">
        <v>58</v>
      </c>
      <c r="L139" t="s">
        <v>58</v>
      </c>
      <c r="M139" t="b">
        <v>1</v>
      </c>
      <c r="N139">
        <v>14544900</v>
      </c>
      <c r="O139" t="b">
        <f t="shared" si="4"/>
        <v>1</v>
      </c>
      <c r="P139">
        <v>161610</v>
      </c>
      <c r="Q139">
        <f t="shared" si="3"/>
        <v>0</v>
      </c>
      <c r="R139">
        <v>0.30629292741785702</v>
      </c>
      <c r="S139">
        <v>10</v>
      </c>
      <c r="T139" t="b">
        <v>1</v>
      </c>
      <c r="U139">
        <v>0</v>
      </c>
      <c r="V139">
        <v>0</v>
      </c>
      <c r="W139">
        <v>0</v>
      </c>
      <c r="X139">
        <v>0</v>
      </c>
      <c r="Y139">
        <v>24395</v>
      </c>
      <c r="Z139">
        <v>0</v>
      </c>
      <c r="AA139">
        <v>0</v>
      </c>
      <c r="AB139">
        <v>23760</v>
      </c>
      <c r="AC139">
        <v>0</v>
      </c>
      <c r="AD139">
        <v>0</v>
      </c>
      <c r="AE139">
        <v>49500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8330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44460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11165</v>
      </c>
      <c r="BA139">
        <v>0</v>
      </c>
      <c r="BB139">
        <v>0</v>
      </c>
      <c r="BC139">
        <v>0</v>
      </c>
      <c r="BD139">
        <v>0</v>
      </c>
    </row>
    <row r="140" spans="1:56" x14ac:dyDescent="0.3">
      <c r="A140" t="s">
        <v>85</v>
      </c>
      <c r="B140" t="s">
        <v>56</v>
      </c>
      <c r="C140">
        <v>2083</v>
      </c>
      <c r="D140">
        <v>1</v>
      </c>
      <c r="E140">
        <v>10</v>
      </c>
      <c r="F140" t="s">
        <v>62</v>
      </c>
      <c r="G140">
        <v>149996</v>
      </c>
      <c r="H140">
        <v>60</v>
      </c>
      <c r="I140">
        <v>100</v>
      </c>
      <c r="J140">
        <v>81.3</v>
      </c>
      <c r="K140" t="s">
        <v>58</v>
      </c>
      <c r="L140" t="s">
        <v>58</v>
      </c>
      <c r="M140" t="b">
        <v>1</v>
      </c>
      <c r="N140">
        <v>12194674.7999999</v>
      </c>
      <c r="O140" t="b">
        <f t="shared" si="4"/>
        <v>1</v>
      </c>
      <c r="P140">
        <v>149996</v>
      </c>
      <c r="Q140">
        <f t="shared" si="3"/>
        <v>0</v>
      </c>
      <c r="R140">
        <v>0.21233899570655199</v>
      </c>
      <c r="S140">
        <v>10</v>
      </c>
      <c r="T140" t="b">
        <v>1</v>
      </c>
      <c r="U140">
        <v>0</v>
      </c>
      <c r="V140">
        <v>0</v>
      </c>
      <c r="W140">
        <v>0</v>
      </c>
      <c r="X140">
        <v>0</v>
      </c>
      <c r="Y140">
        <v>19660</v>
      </c>
      <c r="Z140">
        <v>0</v>
      </c>
      <c r="AA140">
        <v>0</v>
      </c>
      <c r="AB140">
        <v>35453</v>
      </c>
      <c r="AC140">
        <v>0</v>
      </c>
      <c r="AD140">
        <v>0</v>
      </c>
      <c r="AE140">
        <v>31850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21023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34910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7100</v>
      </c>
      <c r="BA140">
        <v>0</v>
      </c>
      <c r="BB140">
        <v>0</v>
      </c>
      <c r="BC140">
        <v>0</v>
      </c>
      <c r="BD140">
        <v>0</v>
      </c>
    </row>
    <row r="141" spans="1:56" x14ac:dyDescent="0.3">
      <c r="A141" t="s">
        <v>87</v>
      </c>
      <c r="B141" t="s">
        <v>56</v>
      </c>
      <c r="C141">
        <v>2082</v>
      </c>
      <c r="D141">
        <v>4</v>
      </c>
      <c r="E141">
        <v>1</v>
      </c>
      <c r="F141" t="s">
        <v>70</v>
      </c>
      <c r="G141">
        <v>65070</v>
      </c>
      <c r="H141">
        <v>60</v>
      </c>
      <c r="I141">
        <v>120</v>
      </c>
      <c r="J141">
        <v>88.4</v>
      </c>
      <c r="K141" t="s">
        <v>86</v>
      </c>
      <c r="L141" t="s">
        <v>86</v>
      </c>
      <c r="M141" t="b">
        <v>1</v>
      </c>
      <c r="N141">
        <v>5752188</v>
      </c>
      <c r="O141" t="b">
        <f t="shared" si="4"/>
        <v>1</v>
      </c>
      <c r="P141">
        <v>65070</v>
      </c>
      <c r="Q141">
        <f t="shared" si="3"/>
        <v>0</v>
      </c>
      <c r="R141">
        <v>0</v>
      </c>
      <c r="S141">
        <v>10</v>
      </c>
      <c r="T141" t="b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690</v>
      </c>
      <c r="AC141">
        <v>0</v>
      </c>
      <c r="AD141">
        <v>0</v>
      </c>
      <c r="AE141">
        <v>0</v>
      </c>
      <c r="AF141">
        <v>0</v>
      </c>
      <c r="AG141">
        <v>3950</v>
      </c>
      <c r="AH141">
        <v>0</v>
      </c>
      <c r="AI141">
        <v>0</v>
      </c>
      <c r="AJ141">
        <v>0</v>
      </c>
      <c r="AK141">
        <v>54080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6350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</row>
    <row r="142" spans="1:56" x14ac:dyDescent="0.3">
      <c r="A142" t="s">
        <v>87</v>
      </c>
      <c r="B142" t="s">
        <v>56</v>
      </c>
      <c r="C142">
        <v>2082</v>
      </c>
      <c r="D142">
        <v>5</v>
      </c>
      <c r="E142">
        <v>2</v>
      </c>
      <c r="F142" t="s">
        <v>65</v>
      </c>
      <c r="G142">
        <v>37325</v>
      </c>
      <c r="H142">
        <v>40</v>
      </c>
      <c r="I142">
        <v>120</v>
      </c>
      <c r="J142">
        <v>82.78</v>
      </c>
      <c r="K142" t="s">
        <v>86</v>
      </c>
      <c r="L142" t="s">
        <v>86</v>
      </c>
      <c r="M142" t="b">
        <v>1</v>
      </c>
      <c r="N142">
        <v>3089763.5</v>
      </c>
      <c r="O142" t="b">
        <f t="shared" si="4"/>
        <v>1</v>
      </c>
      <c r="P142">
        <v>37325</v>
      </c>
      <c r="Q142">
        <f t="shared" ref="Q142:Q205" si="5">ABS(P142-G142)</f>
        <v>0</v>
      </c>
      <c r="R142">
        <v>0</v>
      </c>
      <c r="S142">
        <v>10</v>
      </c>
      <c r="T142" t="b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1950</v>
      </c>
      <c r="AC142">
        <v>0</v>
      </c>
      <c r="AD142">
        <v>0</v>
      </c>
      <c r="AE142">
        <v>0</v>
      </c>
      <c r="AF142">
        <v>0</v>
      </c>
      <c r="AG142">
        <v>1530</v>
      </c>
      <c r="AH142">
        <v>0</v>
      </c>
      <c r="AI142">
        <v>0</v>
      </c>
      <c r="AJ142">
        <v>0</v>
      </c>
      <c r="AK142">
        <v>32535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1310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</row>
    <row r="143" spans="1:56" x14ac:dyDescent="0.3">
      <c r="A143" t="s">
        <v>87</v>
      </c>
      <c r="B143" t="s">
        <v>56</v>
      </c>
      <c r="C143">
        <v>2082</v>
      </c>
      <c r="D143">
        <v>6</v>
      </c>
      <c r="E143">
        <v>3</v>
      </c>
      <c r="F143" t="s">
        <v>66</v>
      </c>
      <c r="G143">
        <v>40920</v>
      </c>
      <c r="H143">
        <v>100</v>
      </c>
      <c r="I143">
        <v>200</v>
      </c>
      <c r="J143">
        <v>146.88</v>
      </c>
      <c r="K143" t="s">
        <v>86</v>
      </c>
      <c r="L143" t="s">
        <v>86</v>
      </c>
      <c r="M143" t="b">
        <v>1</v>
      </c>
      <c r="N143">
        <v>6010329.5999999996</v>
      </c>
      <c r="O143" t="b">
        <f t="shared" si="4"/>
        <v>1</v>
      </c>
      <c r="P143">
        <v>40920</v>
      </c>
      <c r="Q143">
        <f t="shared" si="5"/>
        <v>0</v>
      </c>
      <c r="R143">
        <v>0</v>
      </c>
      <c r="S143">
        <v>10</v>
      </c>
      <c r="T143" t="b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3350</v>
      </c>
      <c r="AC143">
        <v>420</v>
      </c>
      <c r="AD143">
        <v>1120</v>
      </c>
      <c r="AE143">
        <v>0</v>
      </c>
      <c r="AF143">
        <v>0</v>
      </c>
      <c r="AG143">
        <v>3090</v>
      </c>
      <c r="AH143">
        <v>0</v>
      </c>
      <c r="AI143">
        <v>0</v>
      </c>
      <c r="AJ143">
        <v>0</v>
      </c>
      <c r="AK143">
        <v>27740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3910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1290</v>
      </c>
    </row>
    <row r="144" spans="1:56" x14ac:dyDescent="0.3">
      <c r="A144" t="s">
        <v>87</v>
      </c>
      <c r="B144" t="s">
        <v>56</v>
      </c>
      <c r="C144">
        <v>2082</v>
      </c>
      <c r="D144">
        <v>7</v>
      </c>
      <c r="E144">
        <v>4</v>
      </c>
      <c r="F144" t="s">
        <v>67</v>
      </c>
      <c r="G144">
        <v>44077</v>
      </c>
      <c r="H144">
        <v>60</v>
      </c>
      <c r="I144">
        <v>120</v>
      </c>
      <c r="J144">
        <v>90.53</v>
      </c>
      <c r="K144" t="s">
        <v>86</v>
      </c>
      <c r="L144" t="s">
        <v>86</v>
      </c>
      <c r="M144" t="b">
        <v>1</v>
      </c>
      <c r="N144">
        <v>3990290.81</v>
      </c>
      <c r="O144" t="b">
        <f t="shared" si="4"/>
        <v>1</v>
      </c>
      <c r="P144">
        <v>44077</v>
      </c>
      <c r="Q144">
        <f t="shared" si="5"/>
        <v>0</v>
      </c>
      <c r="R144">
        <v>0</v>
      </c>
      <c r="S144">
        <v>10</v>
      </c>
      <c r="T144" t="b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4712</v>
      </c>
      <c r="AC144">
        <v>0</v>
      </c>
      <c r="AD144">
        <v>0</v>
      </c>
      <c r="AE144">
        <v>0</v>
      </c>
      <c r="AF144">
        <v>0</v>
      </c>
      <c r="AG144">
        <v>2590</v>
      </c>
      <c r="AH144">
        <v>0</v>
      </c>
      <c r="AI144">
        <v>0</v>
      </c>
      <c r="AJ144">
        <v>0</v>
      </c>
      <c r="AK144">
        <v>34745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2030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</row>
    <row r="145" spans="1:56" x14ac:dyDescent="0.3">
      <c r="A145" t="s">
        <v>87</v>
      </c>
      <c r="B145" t="s">
        <v>56</v>
      </c>
      <c r="C145">
        <v>2082</v>
      </c>
      <c r="D145">
        <v>8</v>
      </c>
      <c r="E145">
        <v>5</v>
      </c>
      <c r="F145" t="s">
        <v>68</v>
      </c>
      <c r="G145">
        <v>52094</v>
      </c>
      <c r="H145">
        <v>60</v>
      </c>
      <c r="I145">
        <v>140</v>
      </c>
      <c r="J145">
        <v>122.63</v>
      </c>
      <c r="K145" t="s">
        <v>86</v>
      </c>
      <c r="L145" t="s">
        <v>86</v>
      </c>
      <c r="M145" t="b">
        <v>1</v>
      </c>
      <c r="N145">
        <v>6388287.2199999997</v>
      </c>
      <c r="O145" t="b">
        <f t="shared" si="4"/>
        <v>1</v>
      </c>
      <c r="P145">
        <v>52094</v>
      </c>
      <c r="Q145">
        <f t="shared" si="5"/>
        <v>0</v>
      </c>
      <c r="R145">
        <v>0</v>
      </c>
      <c r="S145">
        <v>10</v>
      </c>
      <c r="T145" t="b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1090</v>
      </c>
      <c r="AC145">
        <v>0</v>
      </c>
      <c r="AD145">
        <v>0</v>
      </c>
      <c r="AE145">
        <v>0</v>
      </c>
      <c r="AF145">
        <v>0</v>
      </c>
      <c r="AG145">
        <v>2480</v>
      </c>
      <c r="AH145">
        <v>0</v>
      </c>
      <c r="AI145">
        <v>0</v>
      </c>
      <c r="AJ145">
        <v>0</v>
      </c>
      <c r="AK145">
        <v>47480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150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894</v>
      </c>
    </row>
    <row r="146" spans="1:56" x14ac:dyDescent="0.3">
      <c r="A146" t="s">
        <v>87</v>
      </c>
      <c r="B146" t="s">
        <v>56</v>
      </c>
      <c r="C146">
        <v>2082</v>
      </c>
      <c r="D146">
        <v>9</v>
      </c>
      <c r="E146">
        <v>6</v>
      </c>
      <c r="F146" t="s">
        <v>57</v>
      </c>
      <c r="G146">
        <v>53445</v>
      </c>
      <c r="H146">
        <v>40</v>
      </c>
      <c r="I146">
        <v>80</v>
      </c>
      <c r="J146">
        <v>60.91</v>
      </c>
      <c r="K146" t="s">
        <v>86</v>
      </c>
      <c r="L146" t="s">
        <v>86</v>
      </c>
      <c r="M146" t="b">
        <v>1</v>
      </c>
      <c r="N146">
        <v>3255334.9499999899</v>
      </c>
      <c r="O146" t="b">
        <f t="shared" si="4"/>
        <v>1</v>
      </c>
      <c r="P146">
        <v>53445</v>
      </c>
      <c r="Q146">
        <f t="shared" si="5"/>
        <v>0</v>
      </c>
      <c r="R146">
        <v>0</v>
      </c>
      <c r="S146">
        <v>10</v>
      </c>
      <c r="T146" t="b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90</v>
      </c>
      <c r="AH146">
        <v>0</v>
      </c>
      <c r="AI146">
        <v>0</v>
      </c>
      <c r="AJ146">
        <v>0</v>
      </c>
      <c r="AK146">
        <v>51995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1360</v>
      </c>
    </row>
    <row r="147" spans="1:56" x14ac:dyDescent="0.3">
      <c r="A147" t="s">
        <v>87</v>
      </c>
      <c r="B147" t="s">
        <v>56</v>
      </c>
      <c r="C147">
        <v>2082</v>
      </c>
      <c r="D147">
        <v>10</v>
      </c>
      <c r="E147">
        <v>7</v>
      </c>
      <c r="F147" t="s">
        <v>59</v>
      </c>
      <c r="G147">
        <v>52455</v>
      </c>
      <c r="H147">
        <v>25</v>
      </c>
      <c r="I147">
        <v>70</v>
      </c>
      <c r="J147">
        <v>50.86</v>
      </c>
      <c r="K147" t="s">
        <v>86</v>
      </c>
      <c r="L147" t="s">
        <v>86</v>
      </c>
      <c r="M147" t="b">
        <v>1</v>
      </c>
      <c r="N147">
        <v>2667861.2999999998</v>
      </c>
      <c r="O147" t="b">
        <f t="shared" si="4"/>
        <v>1</v>
      </c>
      <c r="P147">
        <v>52455</v>
      </c>
      <c r="Q147">
        <f t="shared" si="5"/>
        <v>0</v>
      </c>
      <c r="R147">
        <v>0</v>
      </c>
      <c r="S147">
        <v>10</v>
      </c>
      <c r="T147" t="b">
        <v>1</v>
      </c>
      <c r="U147">
        <v>0</v>
      </c>
      <c r="V147">
        <v>0</v>
      </c>
      <c r="W147">
        <v>0</v>
      </c>
      <c r="X147">
        <v>0</v>
      </c>
      <c r="Y147">
        <v>1540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47175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3450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290</v>
      </c>
    </row>
    <row r="148" spans="1:56" x14ac:dyDescent="0.3">
      <c r="A148" t="s">
        <v>87</v>
      </c>
      <c r="B148" t="s">
        <v>56</v>
      </c>
      <c r="C148">
        <v>2082</v>
      </c>
      <c r="D148">
        <v>11</v>
      </c>
      <c r="E148">
        <v>8</v>
      </c>
      <c r="F148" t="s">
        <v>60</v>
      </c>
      <c r="G148">
        <v>36575</v>
      </c>
      <c r="H148">
        <v>20</v>
      </c>
      <c r="I148">
        <v>35</v>
      </c>
      <c r="J148">
        <v>26.81</v>
      </c>
      <c r="K148" t="s">
        <v>86</v>
      </c>
      <c r="L148" t="s">
        <v>86</v>
      </c>
      <c r="M148" t="b">
        <v>1</v>
      </c>
      <c r="N148">
        <v>980575.75</v>
      </c>
      <c r="O148" t="b">
        <f t="shared" si="4"/>
        <v>1</v>
      </c>
      <c r="P148">
        <v>36575</v>
      </c>
      <c r="Q148">
        <f t="shared" si="5"/>
        <v>0</v>
      </c>
      <c r="R148">
        <v>0</v>
      </c>
      <c r="S148">
        <v>10</v>
      </c>
      <c r="T148" t="b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36575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</row>
    <row r="149" spans="1:56" x14ac:dyDescent="0.3">
      <c r="A149" t="s">
        <v>87</v>
      </c>
      <c r="B149" t="s">
        <v>56</v>
      </c>
      <c r="C149">
        <v>2082</v>
      </c>
      <c r="D149">
        <v>12</v>
      </c>
      <c r="E149">
        <v>9</v>
      </c>
      <c r="F149" t="s">
        <v>61</v>
      </c>
      <c r="G149">
        <v>47175</v>
      </c>
      <c r="H149">
        <v>40</v>
      </c>
      <c r="I149">
        <v>120</v>
      </c>
      <c r="J149">
        <v>101.36</v>
      </c>
      <c r="K149" t="s">
        <v>86</v>
      </c>
      <c r="L149" t="s">
        <v>86</v>
      </c>
      <c r="M149" t="b">
        <v>1</v>
      </c>
      <c r="N149">
        <v>4781658</v>
      </c>
      <c r="O149" t="b">
        <f t="shared" si="4"/>
        <v>1</v>
      </c>
      <c r="P149">
        <v>47175</v>
      </c>
      <c r="Q149">
        <f t="shared" si="5"/>
        <v>0</v>
      </c>
      <c r="R149">
        <v>0</v>
      </c>
      <c r="S149">
        <v>10</v>
      </c>
      <c r="T149" t="b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120</v>
      </c>
      <c r="AH149">
        <v>0</v>
      </c>
      <c r="AI149">
        <v>0</v>
      </c>
      <c r="AJ149">
        <v>0</v>
      </c>
      <c r="AK149">
        <v>42475</v>
      </c>
      <c r="AL149">
        <v>0</v>
      </c>
      <c r="AM149">
        <v>0</v>
      </c>
      <c r="AN149">
        <v>4580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</row>
    <row r="150" spans="1:56" x14ac:dyDescent="0.3">
      <c r="A150" t="s">
        <v>87</v>
      </c>
      <c r="B150" t="s">
        <v>56</v>
      </c>
      <c r="C150">
        <v>2083</v>
      </c>
      <c r="D150">
        <v>1</v>
      </c>
      <c r="E150">
        <v>10</v>
      </c>
      <c r="F150" t="s">
        <v>62</v>
      </c>
      <c r="G150">
        <v>38725</v>
      </c>
      <c r="H150">
        <v>40</v>
      </c>
      <c r="I150">
        <v>100</v>
      </c>
      <c r="J150">
        <v>64.78</v>
      </c>
      <c r="K150" t="s">
        <v>86</v>
      </c>
      <c r="L150" t="s">
        <v>86</v>
      </c>
      <c r="M150" t="b">
        <v>1</v>
      </c>
      <c r="N150">
        <v>2508605.5</v>
      </c>
      <c r="O150" t="b">
        <f t="shared" si="4"/>
        <v>1</v>
      </c>
      <c r="P150">
        <v>38725</v>
      </c>
      <c r="Q150">
        <f t="shared" si="5"/>
        <v>0</v>
      </c>
      <c r="R150">
        <v>0</v>
      </c>
      <c r="S150">
        <v>10</v>
      </c>
      <c r="T150" t="b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35935</v>
      </c>
      <c r="AL150">
        <v>0</v>
      </c>
      <c r="AM150">
        <v>0</v>
      </c>
      <c r="AN150">
        <v>2790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</row>
    <row r="151" spans="1:56" x14ac:dyDescent="0.3">
      <c r="A151" t="s">
        <v>88</v>
      </c>
      <c r="B151" t="s">
        <v>56</v>
      </c>
      <c r="C151">
        <v>2082</v>
      </c>
      <c r="D151">
        <v>4</v>
      </c>
      <c r="E151">
        <v>1</v>
      </c>
      <c r="F151" t="s">
        <v>70</v>
      </c>
      <c r="G151">
        <v>0</v>
      </c>
      <c r="H151">
        <v>150</v>
      </c>
      <c r="I151">
        <v>150</v>
      </c>
      <c r="J151">
        <v>150</v>
      </c>
      <c r="K151" t="s">
        <v>58</v>
      </c>
      <c r="L151" t="s">
        <v>58</v>
      </c>
      <c r="M151" t="b">
        <v>0</v>
      </c>
      <c r="N151">
        <v>0</v>
      </c>
      <c r="O151" t="b">
        <f t="shared" si="4"/>
        <v>1</v>
      </c>
      <c r="P151">
        <v>0</v>
      </c>
      <c r="Q151">
        <f t="shared" si="5"/>
        <v>0</v>
      </c>
      <c r="S151">
        <v>8</v>
      </c>
      <c r="T151" t="b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</row>
    <row r="152" spans="1:56" x14ac:dyDescent="0.3">
      <c r="A152" t="s">
        <v>88</v>
      </c>
      <c r="B152" t="s">
        <v>56</v>
      </c>
      <c r="C152">
        <v>2082</v>
      </c>
      <c r="D152">
        <v>6</v>
      </c>
      <c r="E152">
        <v>3</v>
      </c>
      <c r="F152" t="s">
        <v>66</v>
      </c>
      <c r="G152">
        <v>1695</v>
      </c>
      <c r="H152">
        <v>150</v>
      </c>
      <c r="I152">
        <v>350</v>
      </c>
      <c r="J152">
        <v>206.88</v>
      </c>
      <c r="K152" t="s">
        <v>58</v>
      </c>
      <c r="L152" t="s">
        <v>58</v>
      </c>
      <c r="M152" t="b">
        <v>0</v>
      </c>
      <c r="N152">
        <v>350661.6</v>
      </c>
      <c r="O152" t="b">
        <f t="shared" si="4"/>
        <v>1</v>
      </c>
      <c r="P152">
        <v>1695</v>
      </c>
      <c r="Q152">
        <f t="shared" si="5"/>
        <v>0</v>
      </c>
      <c r="R152">
        <v>0</v>
      </c>
      <c r="S152">
        <v>8</v>
      </c>
      <c r="T152" t="b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1485</v>
      </c>
      <c r="AE152">
        <v>0</v>
      </c>
      <c r="AF152">
        <v>0</v>
      </c>
      <c r="AG152">
        <v>210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</row>
    <row r="153" spans="1:56" x14ac:dyDescent="0.3">
      <c r="A153" t="s">
        <v>88</v>
      </c>
      <c r="B153" t="s">
        <v>56</v>
      </c>
      <c r="C153">
        <v>2082</v>
      </c>
      <c r="D153">
        <v>7</v>
      </c>
      <c r="E153">
        <v>4</v>
      </c>
      <c r="F153" t="s">
        <v>67</v>
      </c>
      <c r="G153">
        <v>13499</v>
      </c>
      <c r="H153">
        <v>200</v>
      </c>
      <c r="I153">
        <v>350</v>
      </c>
      <c r="J153">
        <v>265.13</v>
      </c>
      <c r="K153" t="s">
        <v>58</v>
      </c>
      <c r="L153" t="s">
        <v>58</v>
      </c>
      <c r="M153" t="b">
        <v>0</v>
      </c>
      <c r="N153">
        <v>3578989.87</v>
      </c>
      <c r="O153" t="b">
        <f t="shared" si="4"/>
        <v>1</v>
      </c>
      <c r="P153">
        <v>13499</v>
      </c>
      <c r="Q153">
        <f t="shared" si="5"/>
        <v>0</v>
      </c>
      <c r="R153">
        <v>0</v>
      </c>
      <c r="S153">
        <v>8</v>
      </c>
      <c r="T153" t="b">
        <v>0</v>
      </c>
      <c r="U153">
        <v>0</v>
      </c>
      <c r="V153">
        <v>0</v>
      </c>
      <c r="W153">
        <v>1391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1780</v>
      </c>
      <c r="AE153">
        <v>0</v>
      </c>
      <c r="AF153">
        <v>0</v>
      </c>
      <c r="AG153">
        <v>745</v>
      </c>
      <c r="AH153">
        <v>0</v>
      </c>
      <c r="AI153">
        <v>0</v>
      </c>
      <c r="AJ153">
        <v>0</v>
      </c>
      <c r="AK153">
        <v>7133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140</v>
      </c>
      <c r="AR153">
        <v>0</v>
      </c>
      <c r="AS153">
        <v>890</v>
      </c>
      <c r="AT153">
        <v>0</v>
      </c>
      <c r="AU153">
        <v>1420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</row>
    <row r="154" spans="1:56" x14ac:dyDescent="0.3">
      <c r="A154" t="s">
        <v>88</v>
      </c>
      <c r="B154" t="s">
        <v>56</v>
      </c>
      <c r="C154">
        <v>2082</v>
      </c>
      <c r="D154">
        <v>8</v>
      </c>
      <c r="E154">
        <v>5</v>
      </c>
      <c r="F154" t="s">
        <v>68</v>
      </c>
      <c r="G154">
        <v>57425</v>
      </c>
      <c r="H154">
        <v>120</v>
      </c>
      <c r="I154">
        <v>250</v>
      </c>
      <c r="J154">
        <v>172.37</v>
      </c>
      <c r="K154" t="s">
        <v>58</v>
      </c>
      <c r="L154" t="s">
        <v>58</v>
      </c>
      <c r="M154" t="b">
        <v>0</v>
      </c>
      <c r="N154">
        <v>9898347.25</v>
      </c>
      <c r="O154" t="b">
        <f t="shared" si="4"/>
        <v>1</v>
      </c>
      <c r="P154">
        <v>57425</v>
      </c>
      <c r="Q154">
        <f t="shared" si="5"/>
        <v>0</v>
      </c>
      <c r="R154">
        <v>0</v>
      </c>
      <c r="S154">
        <v>8</v>
      </c>
      <c r="T154" t="b">
        <v>0</v>
      </c>
      <c r="U154">
        <v>0</v>
      </c>
      <c r="V154">
        <v>0</v>
      </c>
      <c r="W154">
        <v>0</v>
      </c>
      <c r="X154">
        <v>0</v>
      </c>
      <c r="Y154">
        <v>420</v>
      </c>
      <c r="Z154">
        <v>0</v>
      </c>
      <c r="AA154">
        <v>0</v>
      </c>
      <c r="AB154">
        <v>0</v>
      </c>
      <c r="AC154">
        <v>0</v>
      </c>
      <c r="AD154">
        <v>750</v>
      </c>
      <c r="AE154">
        <v>0</v>
      </c>
      <c r="AF154">
        <v>0</v>
      </c>
      <c r="AG154">
        <v>825</v>
      </c>
      <c r="AH154">
        <v>0</v>
      </c>
      <c r="AI154">
        <v>0</v>
      </c>
      <c r="AJ154">
        <v>0</v>
      </c>
      <c r="AK154">
        <v>29750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24070</v>
      </c>
      <c r="AR154">
        <v>0</v>
      </c>
      <c r="AS154">
        <v>0</v>
      </c>
      <c r="AT154">
        <v>0</v>
      </c>
      <c r="AU154">
        <v>1610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</row>
    <row r="155" spans="1:56" x14ac:dyDescent="0.3">
      <c r="A155" t="s">
        <v>88</v>
      </c>
      <c r="B155" t="s">
        <v>56</v>
      </c>
      <c r="C155">
        <v>2082</v>
      </c>
      <c r="D155">
        <v>9</v>
      </c>
      <c r="E155">
        <v>6</v>
      </c>
      <c r="F155" t="s">
        <v>57</v>
      </c>
      <c r="G155">
        <v>148190</v>
      </c>
      <c r="H155">
        <v>100</v>
      </c>
      <c r="I155">
        <v>150</v>
      </c>
      <c r="J155">
        <v>132.94999999999999</v>
      </c>
      <c r="K155" t="s">
        <v>58</v>
      </c>
      <c r="L155" t="s">
        <v>58</v>
      </c>
      <c r="M155" t="b">
        <v>0</v>
      </c>
      <c r="N155">
        <v>19701860.5</v>
      </c>
      <c r="O155" t="b">
        <f t="shared" si="4"/>
        <v>1</v>
      </c>
      <c r="P155">
        <v>148190</v>
      </c>
      <c r="Q155">
        <f t="shared" si="5"/>
        <v>0</v>
      </c>
      <c r="R155">
        <v>0</v>
      </c>
      <c r="S155">
        <v>8</v>
      </c>
      <c r="T155" t="b">
        <v>0</v>
      </c>
      <c r="U155">
        <v>0</v>
      </c>
      <c r="V155">
        <v>0</v>
      </c>
      <c r="W155">
        <v>0</v>
      </c>
      <c r="X155">
        <v>0</v>
      </c>
      <c r="Y155">
        <v>29540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1825</v>
      </c>
      <c r="AH155">
        <v>0</v>
      </c>
      <c r="AI155">
        <v>0</v>
      </c>
      <c r="AJ155">
        <v>0</v>
      </c>
      <c r="AK155">
        <v>52875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63950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</row>
    <row r="156" spans="1:56" x14ac:dyDescent="0.3">
      <c r="A156" t="s">
        <v>88</v>
      </c>
      <c r="B156" t="s">
        <v>56</v>
      </c>
      <c r="C156">
        <v>2082</v>
      </c>
      <c r="D156">
        <v>10</v>
      </c>
      <c r="E156">
        <v>7</v>
      </c>
      <c r="F156" t="s">
        <v>59</v>
      </c>
      <c r="G156">
        <v>83565</v>
      </c>
      <c r="H156">
        <v>40</v>
      </c>
      <c r="I156">
        <v>150</v>
      </c>
      <c r="J156">
        <v>84.57</v>
      </c>
      <c r="K156" t="s">
        <v>58</v>
      </c>
      <c r="L156" t="s">
        <v>58</v>
      </c>
      <c r="M156" t="b">
        <v>0</v>
      </c>
      <c r="N156">
        <v>7067092.0499999998</v>
      </c>
      <c r="O156" t="b">
        <f t="shared" si="4"/>
        <v>1</v>
      </c>
      <c r="P156">
        <v>83565</v>
      </c>
      <c r="Q156">
        <f t="shared" si="5"/>
        <v>0</v>
      </c>
      <c r="R156">
        <v>0</v>
      </c>
      <c r="S156">
        <v>8</v>
      </c>
      <c r="T156" t="b">
        <v>0</v>
      </c>
      <c r="U156">
        <v>0</v>
      </c>
      <c r="V156">
        <v>0</v>
      </c>
      <c r="W156">
        <v>0</v>
      </c>
      <c r="X156">
        <v>0</v>
      </c>
      <c r="Y156">
        <v>17810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28415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37340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</row>
    <row r="157" spans="1:56" x14ac:dyDescent="0.3">
      <c r="A157" t="s">
        <v>88</v>
      </c>
      <c r="B157" t="s">
        <v>56</v>
      </c>
      <c r="C157">
        <v>2082</v>
      </c>
      <c r="D157">
        <v>12</v>
      </c>
      <c r="E157">
        <v>9</v>
      </c>
      <c r="F157" t="s">
        <v>61</v>
      </c>
      <c r="G157">
        <v>50215</v>
      </c>
      <c r="H157">
        <v>50</v>
      </c>
      <c r="I157">
        <v>200</v>
      </c>
      <c r="J157">
        <v>113.86</v>
      </c>
      <c r="K157" t="s">
        <v>58</v>
      </c>
      <c r="L157" t="s">
        <v>58</v>
      </c>
      <c r="M157" t="b">
        <v>0</v>
      </c>
      <c r="N157">
        <v>5717479.9000000004</v>
      </c>
      <c r="O157" t="b">
        <f t="shared" si="4"/>
        <v>1</v>
      </c>
      <c r="P157">
        <v>50215</v>
      </c>
      <c r="Q157">
        <f t="shared" si="5"/>
        <v>0</v>
      </c>
      <c r="R157">
        <v>0</v>
      </c>
      <c r="S157">
        <v>8</v>
      </c>
      <c r="T157" t="b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780</v>
      </c>
      <c r="AH157">
        <v>0</v>
      </c>
      <c r="AI157">
        <v>0</v>
      </c>
      <c r="AJ157">
        <v>0</v>
      </c>
      <c r="AK157">
        <v>49435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</row>
    <row r="158" spans="1:56" x14ac:dyDescent="0.3">
      <c r="A158" t="s">
        <v>88</v>
      </c>
      <c r="B158" t="s">
        <v>56</v>
      </c>
      <c r="C158">
        <v>2083</v>
      </c>
      <c r="D158">
        <v>1</v>
      </c>
      <c r="E158">
        <v>10</v>
      </c>
      <c r="F158" t="s">
        <v>62</v>
      </c>
      <c r="G158">
        <v>35505</v>
      </c>
      <c r="H158">
        <v>60</v>
      </c>
      <c r="I158">
        <v>120</v>
      </c>
      <c r="J158">
        <v>78.260000000000005</v>
      </c>
      <c r="K158" t="s">
        <v>58</v>
      </c>
      <c r="L158" t="s">
        <v>58</v>
      </c>
      <c r="M158" t="b">
        <v>0</v>
      </c>
      <c r="N158">
        <v>2778621.3</v>
      </c>
      <c r="O158" t="b">
        <f t="shared" si="4"/>
        <v>1</v>
      </c>
      <c r="P158">
        <v>35505</v>
      </c>
      <c r="Q158">
        <f t="shared" si="5"/>
        <v>0</v>
      </c>
      <c r="R158">
        <v>6.6187860864666895E-2</v>
      </c>
      <c r="S158">
        <v>8</v>
      </c>
      <c r="T158" t="b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2350</v>
      </c>
      <c r="AF158">
        <v>0</v>
      </c>
      <c r="AG158">
        <v>655</v>
      </c>
      <c r="AH158">
        <v>0</v>
      </c>
      <c r="AI158">
        <v>0</v>
      </c>
      <c r="AJ158">
        <v>0</v>
      </c>
      <c r="AK158">
        <v>32500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</row>
    <row r="159" spans="1:56" x14ac:dyDescent="0.3">
      <c r="A159" t="s">
        <v>89</v>
      </c>
      <c r="B159" t="s">
        <v>56</v>
      </c>
      <c r="C159">
        <v>2082</v>
      </c>
      <c r="D159">
        <v>11</v>
      </c>
      <c r="E159">
        <v>8</v>
      </c>
      <c r="F159" t="s">
        <v>60</v>
      </c>
      <c r="G159">
        <v>63905</v>
      </c>
      <c r="H159">
        <v>40</v>
      </c>
      <c r="I159">
        <v>80</v>
      </c>
      <c r="J159">
        <v>56.67</v>
      </c>
      <c r="K159" t="s">
        <v>58</v>
      </c>
      <c r="L159" t="s">
        <v>58</v>
      </c>
      <c r="M159" t="b">
        <v>0</v>
      </c>
      <c r="N159">
        <v>3621496.35</v>
      </c>
      <c r="O159" t="b">
        <f t="shared" si="4"/>
        <v>1</v>
      </c>
      <c r="P159">
        <v>63905</v>
      </c>
      <c r="Q159">
        <f t="shared" si="5"/>
        <v>0</v>
      </c>
      <c r="R159">
        <v>0</v>
      </c>
      <c r="S159">
        <v>1</v>
      </c>
      <c r="T159" t="b">
        <v>0</v>
      </c>
      <c r="U159">
        <v>0</v>
      </c>
      <c r="V159">
        <v>0</v>
      </c>
      <c r="W159">
        <v>0</v>
      </c>
      <c r="X159">
        <v>0</v>
      </c>
      <c r="Y159">
        <v>3660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180</v>
      </c>
      <c r="AH159">
        <v>0</v>
      </c>
      <c r="AI159">
        <v>0</v>
      </c>
      <c r="AJ159">
        <v>0</v>
      </c>
      <c r="AK159">
        <v>46525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12080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1460</v>
      </c>
    </row>
    <row r="160" spans="1:56" x14ac:dyDescent="0.3">
      <c r="A160" t="s">
        <v>90</v>
      </c>
      <c r="B160" t="s">
        <v>56</v>
      </c>
      <c r="C160">
        <v>2082</v>
      </c>
      <c r="D160">
        <v>4</v>
      </c>
      <c r="E160">
        <v>1</v>
      </c>
      <c r="F160" t="s">
        <v>70</v>
      </c>
      <c r="G160">
        <v>258802</v>
      </c>
      <c r="H160">
        <v>50</v>
      </c>
      <c r="I160">
        <v>60</v>
      </c>
      <c r="J160">
        <v>55</v>
      </c>
      <c r="K160" t="s">
        <v>58</v>
      </c>
      <c r="L160" t="s">
        <v>58</v>
      </c>
      <c r="M160" t="b">
        <v>0</v>
      </c>
      <c r="N160">
        <v>14234110</v>
      </c>
      <c r="O160" t="b">
        <f t="shared" si="4"/>
        <v>1</v>
      </c>
      <c r="P160">
        <v>258802</v>
      </c>
      <c r="Q160">
        <f t="shared" si="5"/>
        <v>0</v>
      </c>
      <c r="R160">
        <v>0</v>
      </c>
      <c r="S160">
        <v>10</v>
      </c>
      <c r="T160" t="b">
        <v>1</v>
      </c>
      <c r="U160">
        <v>1450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252132</v>
      </c>
      <c r="AE160">
        <v>0</v>
      </c>
      <c r="AF160">
        <v>0</v>
      </c>
      <c r="AG160">
        <v>180</v>
      </c>
      <c r="AH160">
        <v>0</v>
      </c>
      <c r="AI160">
        <v>0</v>
      </c>
      <c r="AJ160">
        <v>0</v>
      </c>
      <c r="AK160">
        <v>5040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</row>
    <row r="161" spans="1:56" x14ac:dyDescent="0.3">
      <c r="A161" t="s">
        <v>90</v>
      </c>
      <c r="B161" t="s">
        <v>56</v>
      </c>
      <c r="C161">
        <v>2082</v>
      </c>
      <c r="D161">
        <v>5</v>
      </c>
      <c r="E161">
        <v>2</v>
      </c>
      <c r="F161" t="s">
        <v>65</v>
      </c>
      <c r="G161">
        <v>212740</v>
      </c>
      <c r="H161">
        <v>15</v>
      </c>
      <c r="I161">
        <v>60</v>
      </c>
      <c r="J161">
        <v>46.01</v>
      </c>
      <c r="K161" t="s">
        <v>58</v>
      </c>
      <c r="L161" t="s">
        <v>58</v>
      </c>
      <c r="M161" t="b">
        <v>0</v>
      </c>
      <c r="N161">
        <v>9788167.4000000004</v>
      </c>
      <c r="O161" t="b">
        <f t="shared" si="4"/>
        <v>1</v>
      </c>
      <c r="P161">
        <v>212740</v>
      </c>
      <c r="Q161">
        <f t="shared" si="5"/>
        <v>0</v>
      </c>
      <c r="R161">
        <v>0</v>
      </c>
      <c r="S161">
        <v>10</v>
      </c>
      <c r="T161" t="b">
        <v>1</v>
      </c>
      <c r="U161">
        <v>0</v>
      </c>
      <c r="V161">
        <v>0</v>
      </c>
      <c r="W161">
        <v>29680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168640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14420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</row>
    <row r="162" spans="1:56" x14ac:dyDescent="0.3">
      <c r="A162" t="s">
        <v>90</v>
      </c>
      <c r="B162" t="s">
        <v>56</v>
      </c>
      <c r="C162">
        <v>2082</v>
      </c>
      <c r="D162">
        <v>6</v>
      </c>
      <c r="E162">
        <v>3</v>
      </c>
      <c r="F162" t="s">
        <v>66</v>
      </c>
      <c r="G162">
        <v>188640</v>
      </c>
      <c r="H162">
        <v>50</v>
      </c>
      <c r="I162">
        <v>120</v>
      </c>
      <c r="J162">
        <v>80.63</v>
      </c>
      <c r="K162" t="s">
        <v>58</v>
      </c>
      <c r="L162" t="s">
        <v>58</v>
      </c>
      <c r="M162" t="b">
        <v>0</v>
      </c>
      <c r="N162">
        <v>15210043.199999999</v>
      </c>
      <c r="O162" t="b">
        <f t="shared" si="4"/>
        <v>1</v>
      </c>
      <c r="P162">
        <v>188640</v>
      </c>
      <c r="Q162">
        <f t="shared" si="5"/>
        <v>0</v>
      </c>
      <c r="R162">
        <v>0</v>
      </c>
      <c r="S162">
        <v>10</v>
      </c>
      <c r="T162" t="b">
        <v>1</v>
      </c>
      <c r="U162">
        <v>0</v>
      </c>
      <c r="V162">
        <v>0</v>
      </c>
      <c r="W162">
        <v>36675</v>
      </c>
      <c r="X162">
        <v>0</v>
      </c>
      <c r="Y162">
        <v>0</v>
      </c>
      <c r="Z162">
        <v>0</v>
      </c>
      <c r="AA162">
        <v>2210</v>
      </c>
      <c r="AB162">
        <v>3170</v>
      </c>
      <c r="AC162">
        <v>0</v>
      </c>
      <c r="AD162">
        <v>135380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4125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560</v>
      </c>
      <c r="AR162">
        <v>0</v>
      </c>
      <c r="AS162">
        <v>6520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</row>
    <row r="163" spans="1:56" x14ac:dyDescent="0.3">
      <c r="A163" t="s">
        <v>90</v>
      </c>
      <c r="B163" t="s">
        <v>56</v>
      </c>
      <c r="C163">
        <v>2082</v>
      </c>
      <c r="D163">
        <v>7</v>
      </c>
      <c r="E163">
        <v>4</v>
      </c>
      <c r="F163" t="s">
        <v>67</v>
      </c>
      <c r="G163">
        <v>377243</v>
      </c>
      <c r="H163">
        <v>60</v>
      </c>
      <c r="I163">
        <v>100</v>
      </c>
      <c r="J163">
        <v>79.47</v>
      </c>
      <c r="K163" t="s">
        <v>58</v>
      </c>
      <c r="L163" t="s">
        <v>58</v>
      </c>
      <c r="M163" t="b">
        <v>0</v>
      </c>
      <c r="N163">
        <v>29979501.210000001</v>
      </c>
      <c r="O163" t="b">
        <f t="shared" si="4"/>
        <v>1</v>
      </c>
      <c r="P163">
        <v>377243</v>
      </c>
      <c r="Q163">
        <f t="shared" si="5"/>
        <v>0</v>
      </c>
      <c r="R163">
        <v>9.9657250101393494E-2</v>
      </c>
      <c r="S163">
        <v>10</v>
      </c>
      <c r="T163" t="b">
        <v>1</v>
      </c>
      <c r="U163">
        <v>0</v>
      </c>
      <c r="V163">
        <v>0</v>
      </c>
      <c r="W163">
        <v>43675</v>
      </c>
      <c r="X163">
        <v>0</v>
      </c>
      <c r="Y163">
        <v>0</v>
      </c>
      <c r="Z163">
        <v>0</v>
      </c>
      <c r="AA163">
        <v>13180</v>
      </c>
      <c r="AB163">
        <v>43055</v>
      </c>
      <c r="AC163">
        <v>0</v>
      </c>
      <c r="AD163">
        <v>152468</v>
      </c>
      <c r="AE163">
        <v>37595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37220</v>
      </c>
      <c r="AL163">
        <v>3170</v>
      </c>
      <c r="AM163">
        <v>0</v>
      </c>
      <c r="AN163">
        <v>0</v>
      </c>
      <c r="AO163">
        <v>0</v>
      </c>
      <c r="AP163">
        <v>0</v>
      </c>
      <c r="AQ163">
        <v>25380</v>
      </c>
      <c r="AR163">
        <v>0</v>
      </c>
      <c r="AS163">
        <v>2140</v>
      </c>
      <c r="AT163">
        <v>0</v>
      </c>
      <c r="AU163">
        <v>19360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</row>
    <row r="164" spans="1:56" x14ac:dyDescent="0.3">
      <c r="A164" t="s">
        <v>90</v>
      </c>
      <c r="B164" t="s">
        <v>56</v>
      </c>
      <c r="C164">
        <v>2082</v>
      </c>
      <c r="D164">
        <v>8</v>
      </c>
      <c r="E164">
        <v>5</v>
      </c>
      <c r="F164" t="s">
        <v>68</v>
      </c>
      <c r="G164">
        <v>395167</v>
      </c>
      <c r="H164">
        <v>40</v>
      </c>
      <c r="I164">
        <v>90</v>
      </c>
      <c r="J164">
        <v>61.16</v>
      </c>
      <c r="K164" t="s">
        <v>58</v>
      </c>
      <c r="L164" t="s">
        <v>58</v>
      </c>
      <c r="M164" t="b">
        <v>0</v>
      </c>
      <c r="N164">
        <v>24168413.719999999</v>
      </c>
      <c r="O164" t="b">
        <f t="shared" si="4"/>
        <v>1</v>
      </c>
      <c r="P164">
        <v>395167</v>
      </c>
      <c r="Q164">
        <f t="shared" si="5"/>
        <v>0</v>
      </c>
      <c r="R164">
        <v>8.0889851632347798E-2</v>
      </c>
      <c r="S164">
        <v>10</v>
      </c>
      <c r="T164" t="b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11275</v>
      </c>
      <c r="AB164">
        <v>57390</v>
      </c>
      <c r="AC164">
        <v>12755</v>
      </c>
      <c r="AD164">
        <v>63915</v>
      </c>
      <c r="AE164">
        <v>31965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70262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104780</v>
      </c>
      <c r="AR164">
        <v>0</v>
      </c>
      <c r="AS164">
        <v>18320</v>
      </c>
      <c r="AT164">
        <v>0</v>
      </c>
      <c r="AU164">
        <v>19525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2370</v>
      </c>
      <c r="BD164">
        <v>2610</v>
      </c>
    </row>
    <row r="165" spans="1:56" x14ac:dyDescent="0.3">
      <c r="A165" t="s">
        <v>90</v>
      </c>
      <c r="B165" t="s">
        <v>56</v>
      </c>
      <c r="C165">
        <v>2082</v>
      </c>
      <c r="D165">
        <v>9</v>
      </c>
      <c r="E165">
        <v>6</v>
      </c>
      <c r="F165" t="s">
        <v>57</v>
      </c>
      <c r="G165">
        <v>482590</v>
      </c>
      <c r="H165">
        <v>30</v>
      </c>
      <c r="I165">
        <v>60</v>
      </c>
      <c r="J165">
        <v>42.5</v>
      </c>
      <c r="K165" t="s">
        <v>58</v>
      </c>
      <c r="L165" t="s">
        <v>58</v>
      </c>
      <c r="M165" t="b">
        <v>0</v>
      </c>
      <c r="N165">
        <v>20510075</v>
      </c>
      <c r="O165" t="b">
        <f t="shared" si="4"/>
        <v>1</v>
      </c>
      <c r="P165">
        <v>482590</v>
      </c>
      <c r="Q165">
        <f t="shared" si="5"/>
        <v>0</v>
      </c>
      <c r="R165">
        <v>2.6689322198968E-2</v>
      </c>
      <c r="S165">
        <v>10</v>
      </c>
      <c r="T165" t="b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13290</v>
      </c>
      <c r="AB165">
        <v>52200</v>
      </c>
      <c r="AC165">
        <v>15550</v>
      </c>
      <c r="AD165">
        <v>0</v>
      </c>
      <c r="AE165">
        <v>12880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133100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246430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8450</v>
      </c>
      <c r="BD165">
        <v>690</v>
      </c>
    </row>
    <row r="166" spans="1:56" x14ac:dyDescent="0.3">
      <c r="A166" t="s">
        <v>90</v>
      </c>
      <c r="B166" t="s">
        <v>56</v>
      </c>
      <c r="C166">
        <v>2082</v>
      </c>
      <c r="D166">
        <v>10</v>
      </c>
      <c r="E166">
        <v>7</v>
      </c>
      <c r="F166" t="s">
        <v>59</v>
      </c>
      <c r="G166">
        <v>306800</v>
      </c>
      <c r="H166">
        <v>30</v>
      </c>
      <c r="I166">
        <v>70</v>
      </c>
      <c r="J166">
        <v>46.36</v>
      </c>
      <c r="K166" t="s">
        <v>58</v>
      </c>
      <c r="L166" t="s">
        <v>58</v>
      </c>
      <c r="M166" t="b">
        <v>0</v>
      </c>
      <c r="N166">
        <v>14223248</v>
      </c>
      <c r="O166" t="b">
        <f t="shared" si="4"/>
        <v>1</v>
      </c>
      <c r="P166">
        <v>306800</v>
      </c>
      <c r="Q166">
        <f t="shared" si="5"/>
        <v>0</v>
      </c>
      <c r="R166">
        <v>2.1447196870925601E-2</v>
      </c>
      <c r="S166">
        <v>10</v>
      </c>
      <c r="T166" t="b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25280</v>
      </c>
      <c r="AC166">
        <v>5220</v>
      </c>
      <c r="AD166">
        <v>0</v>
      </c>
      <c r="AE166">
        <v>6580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125680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137820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2930</v>
      </c>
      <c r="BD166">
        <v>3290</v>
      </c>
    </row>
    <row r="167" spans="1:56" x14ac:dyDescent="0.3">
      <c r="A167" t="s">
        <v>90</v>
      </c>
      <c r="B167" t="s">
        <v>56</v>
      </c>
      <c r="C167">
        <v>2082</v>
      </c>
      <c r="D167">
        <v>11</v>
      </c>
      <c r="E167">
        <v>8</v>
      </c>
      <c r="F167" t="s">
        <v>60</v>
      </c>
      <c r="G167">
        <v>271050</v>
      </c>
      <c r="H167">
        <v>30</v>
      </c>
      <c r="I167">
        <v>60</v>
      </c>
      <c r="J167">
        <v>41.67</v>
      </c>
      <c r="K167" t="s">
        <v>58</v>
      </c>
      <c r="L167" t="s">
        <v>58</v>
      </c>
      <c r="M167" t="b">
        <v>0</v>
      </c>
      <c r="N167">
        <v>11294653.5</v>
      </c>
      <c r="O167" t="b">
        <f t="shared" si="4"/>
        <v>1</v>
      </c>
      <c r="P167">
        <v>271050</v>
      </c>
      <c r="Q167">
        <f t="shared" si="5"/>
        <v>0</v>
      </c>
      <c r="R167">
        <v>0</v>
      </c>
      <c r="S167">
        <v>10</v>
      </c>
      <c r="T167" t="b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1140</v>
      </c>
      <c r="AB167">
        <v>4420</v>
      </c>
      <c r="AC167">
        <v>3970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111050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146200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1140</v>
      </c>
      <c r="BD167">
        <v>3130</v>
      </c>
    </row>
    <row r="168" spans="1:56" x14ac:dyDescent="0.3">
      <c r="A168" t="s">
        <v>90</v>
      </c>
      <c r="B168" t="s">
        <v>56</v>
      </c>
      <c r="C168">
        <v>2082</v>
      </c>
      <c r="D168">
        <v>12</v>
      </c>
      <c r="E168">
        <v>9</v>
      </c>
      <c r="F168" t="s">
        <v>61</v>
      </c>
      <c r="G168">
        <v>333787</v>
      </c>
      <c r="H168">
        <v>25</v>
      </c>
      <c r="I168">
        <v>60</v>
      </c>
      <c r="J168">
        <v>37.729999999999997</v>
      </c>
      <c r="K168" t="s">
        <v>58</v>
      </c>
      <c r="L168" t="s">
        <v>58</v>
      </c>
      <c r="M168" t="b">
        <v>0</v>
      </c>
      <c r="N168">
        <v>12593783.51</v>
      </c>
      <c r="O168" t="b">
        <f t="shared" si="4"/>
        <v>1</v>
      </c>
      <c r="P168">
        <v>333787</v>
      </c>
      <c r="Q168">
        <f t="shared" si="5"/>
        <v>0</v>
      </c>
      <c r="R168">
        <v>0</v>
      </c>
      <c r="S168">
        <v>10</v>
      </c>
      <c r="T168" t="b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2790</v>
      </c>
      <c r="AB168">
        <v>43637</v>
      </c>
      <c r="AC168">
        <v>1230</v>
      </c>
      <c r="AD168">
        <v>1140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146835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129415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8740</v>
      </c>
    </row>
    <row r="169" spans="1:56" x14ac:dyDescent="0.3">
      <c r="A169" t="s">
        <v>90</v>
      </c>
      <c r="B169" t="s">
        <v>56</v>
      </c>
      <c r="C169">
        <v>2083</v>
      </c>
      <c r="D169">
        <v>1</v>
      </c>
      <c r="E169">
        <v>10</v>
      </c>
      <c r="F169" t="s">
        <v>62</v>
      </c>
      <c r="G169">
        <v>212905</v>
      </c>
      <c r="H169">
        <v>25</v>
      </c>
      <c r="I169">
        <v>60</v>
      </c>
      <c r="J169">
        <v>37.39</v>
      </c>
      <c r="K169" t="s">
        <v>58</v>
      </c>
      <c r="L169" t="s">
        <v>58</v>
      </c>
      <c r="M169" t="b">
        <v>0</v>
      </c>
      <c r="N169">
        <v>7960517.9500000002</v>
      </c>
      <c r="O169" t="b">
        <f t="shared" si="4"/>
        <v>1</v>
      </c>
      <c r="P169">
        <v>212905</v>
      </c>
      <c r="Q169">
        <f t="shared" si="5"/>
        <v>0</v>
      </c>
      <c r="R169">
        <v>0</v>
      </c>
      <c r="S169">
        <v>10</v>
      </c>
      <c r="T169" t="b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5560</v>
      </c>
      <c r="AC169">
        <v>0</v>
      </c>
      <c r="AD169">
        <v>61770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99465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42450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3660</v>
      </c>
    </row>
    <row r="170" spans="1:56" x14ac:dyDescent="0.3">
      <c r="A170" t="s">
        <v>91</v>
      </c>
      <c r="B170" t="s">
        <v>56</v>
      </c>
      <c r="C170">
        <v>2082</v>
      </c>
      <c r="D170">
        <v>4</v>
      </c>
      <c r="E170">
        <v>1</v>
      </c>
      <c r="F170" t="s">
        <v>70</v>
      </c>
      <c r="G170">
        <v>5554</v>
      </c>
      <c r="H170">
        <v>150</v>
      </c>
      <c r="I170">
        <v>250</v>
      </c>
      <c r="J170">
        <v>185</v>
      </c>
      <c r="K170" t="s">
        <v>58</v>
      </c>
      <c r="L170" t="s">
        <v>58</v>
      </c>
      <c r="M170" t="b">
        <v>0</v>
      </c>
      <c r="N170">
        <v>1027490</v>
      </c>
      <c r="O170" t="b">
        <f t="shared" si="4"/>
        <v>1</v>
      </c>
      <c r="P170">
        <v>5554</v>
      </c>
      <c r="Q170">
        <f t="shared" si="5"/>
        <v>0</v>
      </c>
      <c r="R170">
        <v>0</v>
      </c>
      <c r="S170">
        <v>10</v>
      </c>
      <c r="T170" t="b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1620</v>
      </c>
      <c r="AH170">
        <v>0</v>
      </c>
      <c r="AI170">
        <v>0</v>
      </c>
      <c r="AJ170">
        <v>0</v>
      </c>
      <c r="AK170">
        <v>3724</v>
      </c>
      <c r="AL170">
        <v>0</v>
      </c>
      <c r="AM170">
        <v>0</v>
      </c>
      <c r="AN170">
        <v>210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</row>
    <row r="171" spans="1:56" x14ac:dyDescent="0.3">
      <c r="A171" t="s">
        <v>91</v>
      </c>
      <c r="B171" t="s">
        <v>56</v>
      </c>
      <c r="C171">
        <v>2082</v>
      </c>
      <c r="D171">
        <v>5</v>
      </c>
      <c r="E171">
        <v>2</v>
      </c>
      <c r="F171" t="s">
        <v>65</v>
      </c>
      <c r="G171">
        <v>2220</v>
      </c>
      <c r="H171">
        <v>180</v>
      </c>
      <c r="I171">
        <v>300</v>
      </c>
      <c r="J171">
        <v>240</v>
      </c>
      <c r="K171" t="s">
        <v>58</v>
      </c>
      <c r="L171" t="s">
        <v>58</v>
      </c>
      <c r="M171" t="b">
        <v>0</v>
      </c>
      <c r="N171">
        <v>377089.2</v>
      </c>
      <c r="O171" t="b">
        <f t="shared" si="4"/>
        <v>1</v>
      </c>
      <c r="P171">
        <v>2220</v>
      </c>
      <c r="Q171">
        <f t="shared" si="5"/>
        <v>0</v>
      </c>
      <c r="R171">
        <v>0</v>
      </c>
      <c r="S171">
        <v>10</v>
      </c>
      <c r="T171" t="b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120</v>
      </c>
      <c r="AE171">
        <v>0</v>
      </c>
      <c r="AF171">
        <v>0</v>
      </c>
      <c r="AG171">
        <v>470</v>
      </c>
      <c r="AH171">
        <v>0</v>
      </c>
      <c r="AI171">
        <v>0</v>
      </c>
      <c r="AJ171">
        <v>0</v>
      </c>
      <c r="AK171">
        <v>1420</v>
      </c>
      <c r="AL171">
        <v>0</v>
      </c>
      <c r="AM171">
        <v>0</v>
      </c>
      <c r="AN171">
        <v>210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 spans="1:56" x14ac:dyDescent="0.3">
      <c r="A172" t="s">
        <v>91</v>
      </c>
      <c r="B172" t="s">
        <v>56</v>
      </c>
      <c r="C172">
        <v>2082</v>
      </c>
      <c r="D172">
        <v>6</v>
      </c>
      <c r="E172">
        <v>3</v>
      </c>
      <c r="F172" t="s">
        <v>66</v>
      </c>
      <c r="G172">
        <v>2660</v>
      </c>
      <c r="H172">
        <v>200</v>
      </c>
      <c r="I172">
        <v>600</v>
      </c>
      <c r="J172">
        <v>350</v>
      </c>
      <c r="K172" t="s">
        <v>58</v>
      </c>
      <c r="L172" t="s">
        <v>58</v>
      </c>
      <c r="M172" t="b">
        <v>0</v>
      </c>
      <c r="N172">
        <v>1463000</v>
      </c>
      <c r="O172" t="b">
        <f t="shared" si="4"/>
        <v>1</v>
      </c>
      <c r="P172">
        <v>2660</v>
      </c>
      <c r="Q172">
        <f t="shared" si="5"/>
        <v>0</v>
      </c>
      <c r="R172">
        <v>0</v>
      </c>
      <c r="S172">
        <v>10</v>
      </c>
      <c r="T172" t="b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1210</v>
      </c>
      <c r="AH172">
        <v>0</v>
      </c>
      <c r="AI172">
        <v>0</v>
      </c>
      <c r="AJ172">
        <v>0</v>
      </c>
      <c r="AK172">
        <v>910</v>
      </c>
      <c r="AL172">
        <v>0</v>
      </c>
      <c r="AM172">
        <v>0</v>
      </c>
      <c r="AN172">
        <v>540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 spans="1:56" x14ac:dyDescent="0.3">
      <c r="A173" t="s">
        <v>91</v>
      </c>
      <c r="B173" t="s">
        <v>56</v>
      </c>
      <c r="C173">
        <v>2082</v>
      </c>
      <c r="D173">
        <v>7</v>
      </c>
      <c r="E173">
        <v>4</v>
      </c>
      <c r="F173" t="s">
        <v>67</v>
      </c>
      <c r="G173">
        <v>7305</v>
      </c>
      <c r="H173">
        <v>200</v>
      </c>
      <c r="I173">
        <v>600</v>
      </c>
      <c r="J173">
        <v>350</v>
      </c>
      <c r="K173" t="s">
        <v>58</v>
      </c>
      <c r="L173" t="s">
        <v>58</v>
      </c>
      <c r="M173" t="b">
        <v>0</v>
      </c>
      <c r="N173">
        <v>2556750</v>
      </c>
      <c r="O173" t="b">
        <f t="shared" si="4"/>
        <v>1</v>
      </c>
      <c r="P173">
        <v>7305</v>
      </c>
      <c r="Q173">
        <f t="shared" si="5"/>
        <v>0</v>
      </c>
      <c r="R173">
        <v>0</v>
      </c>
      <c r="S173">
        <v>10</v>
      </c>
      <c r="T173" t="b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1450</v>
      </c>
      <c r="AH173">
        <v>0</v>
      </c>
      <c r="AI173">
        <v>0</v>
      </c>
      <c r="AJ173">
        <v>0</v>
      </c>
      <c r="AK173">
        <v>5065</v>
      </c>
      <c r="AL173">
        <v>250</v>
      </c>
      <c r="AM173">
        <v>0</v>
      </c>
      <c r="AN173">
        <v>0</v>
      </c>
      <c r="AO173">
        <v>0</v>
      </c>
      <c r="AP173">
        <v>0</v>
      </c>
      <c r="AQ173">
        <v>540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</row>
    <row r="174" spans="1:56" x14ac:dyDescent="0.3">
      <c r="A174" t="s">
        <v>91</v>
      </c>
      <c r="B174" t="s">
        <v>56</v>
      </c>
      <c r="C174">
        <v>2082</v>
      </c>
      <c r="D174">
        <v>8</v>
      </c>
      <c r="E174">
        <v>5</v>
      </c>
      <c r="F174" t="s">
        <v>68</v>
      </c>
      <c r="G174">
        <v>11645</v>
      </c>
      <c r="H174">
        <v>200</v>
      </c>
      <c r="I174">
        <v>400</v>
      </c>
      <c r="J174">
        <v>265.79000000000002</v>
      </c>
      <c r="K174" t="s">
        <v>58</v>
      </c>
      <c r="L174" t="s">
        <v>58</v>
      </c>
      <c r="M174" t="b">
        <v>0</v>
      </c>
      <c r="N174">
        <v>3095124.55</v>
      </c>
      <c r="O174" t="b">
        <f t="shared" si="4"/>
        <v>1</v>
      </c>
      <c r="P174">
        <v>11645</v>
      </c>
      <c r="Q174">
        <f t="shared" si="5"/>
        <v>0</v>
      </c>
      <c r="R174">
        <v>0</v>
      </c>
      <c r="S174">
        <v>10</v>
      </c>
      <c r="T174" t="b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3250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590</v>
      </c>
      <c r="AH174">
        <v>0</v>
      </c>
      <c r="AI174">
        <v>0</v>
      </c>
      <c r="AJ174">
        <v>0</v>
      </c>
      <c r="AK174">
        <v>4135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3670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</row>
    <row r="175" spans="1:56" x14ac:dyDescent="0.3">
      <c r="A175" t="s">
        <v>91</v>
      </c>
      <c r="B175" t="s">
        <v>56</v>
      </c>
      <c r="C175">
        <v>2082</v>
      </c>
      <c r="D175">
        <v>9</v>
      </c>
      <c r="E175">
        <v>6</v>
      </c>
      <c r="F175" t="s">
        <v>57</v>
      </c>
      <c r="G175">
        <v>15280</v>
      </c>
      <c r="H175">
        <v>200</v>
      </c>
      <c r="I175">
        <v>300</v>
      </c>
      <c r="J175">
        <v>250</v>
      </c>
      <c r="K175" t="s">
        <v>58</v>
      </c>
      <c r="L175" t="s">
        <v>58</v>
      </c>
      <c r="M175" t="b">
        <v>0</v>
      </c>
      <c r="N175">
        <v>3820000</v>
      </c>
      <c r="O175" t="b">
        <f t="shared" si="4"/>
        <v>1</v>
      </c>
      <c r="P175">
        <v>15280</v>
      </c>
      <c r="Q175">
        <f t="shared" si="5"/>
        <v>0</v>
      </c>
      <c r="R175">
        <v>0</v>
      </c>
      <c r="S175">
        <v>10</v>
      </c>
      <c r="T175" t="b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3250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320</v>
      </c>
      <c r="AH175">
        <v>0</v>
      </c>
      <c r="AI175">
        <v>0</v>
      </c>
      <c r="AJ175">
        <v>0</v>
      </c>
      <c r="AK175">
        <v>5830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5880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</row>
    <row r="176" spans="1:56" x14ac:dyDescent="0.3">
      <c r="A176" t="s">
        <v>91</v>
      </c>
      <c r="B176" t="s">
        <v>56</v>
      </c>
      <c r="C176">
        <v>2082</v>
      </c>
      <c r="D176">
        <v>10</v>
      </c>
      <c r="E176">
        <v>7</v>
      </c>
      <c r="F176" t="s">
        <v>59</v>
      </c>
      <c r="G176">
        <v>20430</v>
      </c>
      <c r="H176">
        <v>80</v>
      </c>
      <c r="I176">
        <v>350</v>
      </c>
      <c r="J176">
        <v>250.57</v>
      </c>
      <c r="K176" t="s">
        <v>58</v>
      </c>
      <c r="L176" t="s">
        <v>58</v>
      </c>
      <c r="M176" t="b">
        <v>0</v>
      </c>
      <c r="N176">
        <v>5119145.0999999996</v>
      </c>
      <c r="O176" t="b">
        <f t="shared" si="4"/>
        <v>1</v>
      </c>
      <c r="P176">
        <v>20430</v>
      </c>
      <c r="Q176">
        <f t="shared" si="5"/>
        <v>0</v>
      </c>
      <c r="R176">
        <v>0</v>
      </c>
      <c r="S176">
        <v>10</v>
      </c>
      <c r="T176" t="b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810</v>
      </c>
      <c r="AH176">
        <v>0</v>
      </c>
      <c r="AI176">
        <v>0</v>
      </c>
      <c r="AJ176">
        <v>0</v>
      </c>
      <c r="AK176">
        <v>3020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16600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</row>
    <row r="177" spans="1:56" x14ac:dyDescent="0.3">
      <c r="A177" t="s">
        <v>91</v>
      </c>
      <c r="B177" t="s">
        <v>56</v>
      </c>
      <c r="C177">
        <v>2082</v>
      </c>
      <c r="D177">
        <v>11</v>
      </c>
      <c r="E177">
        <v>8</v>
      </c>
      <c r="F177" t="s">
        <v>60</v>
      </c>
      <c r="G177">
        <v>6560</v>
      </c>
      <c r="H177">
        <v>80</v>
      </c>
      <c r="I177">
        <v>350</v>
      </c>
      <c r="J177">
        <v>213.61</v>
      </c>
      <c r="K177" t="s">
        <v>58</v>
      </c>
      <c r="L177" t="s">
        <v>58</v>
      </c>
      <c r="M177" t="b">
        <v>0</v>
      </c>
      <c r="N177">
        <v>1401281.6</v>
      </c>
      <c r="O177" t="b">
        <f t="shared" si="4"/>
        <v>1</v>
      </c>
      <c r="P177">
        <v>6560</v>
      </c>
      <c r="Q177">
        <f t="shared" si="5"/>
        <v>0</v>
      </c>
      <c r="R177">
        <v>0</v>
      </c>
      <c r="S177">
        <v>10</v>
      </c>
      <c r="T177" t="b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390</v>
      </c>
      <c r="AH177">
        <v>0</v>
      </c>
      <c r="AI177">
        <v>0</v>
      </c>
      <c r="AJ177">
        <v>0</v>
      </c>
      <c r="AK177">
        <v>2570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3600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 spans="1:56" x14ac:dyDescent="0.3">
      <c r="A178" t="s">
        <v>91</v>
      </c>
      <c r="B178" t="s">
        <v>56</v>
      </c>
      <c r="C178">
        <v>2082</v>
      </c>
      <c r="D178">
        <v>12</v>
      </c>
      <c r="E178">
        <v>9</v>
      </c>
      <c r="F178" t="s">
        <v>61</v>
      </c>
      <c r="G178">
        <v>15660</v>
      </c>
      <c r="H178">
        <v>60</v>
      </c>
      <c r="I178">
        <v>200</v>
      </c>
      <c r="J178">
        <v>90.23</v>
      </c>
      <c r="K178" t="s">
        <v>58</v>
      </c>
      <c r="L178" t="s">
        <v>58</v>
      </c>
      <c r="M178" t="b">
        <v>0</v>
      </c>
      <c r="N178">
        <v>1413001.8</v>
      </c>
      <c r="O178" t="b">
        <f t="shared" si="4"/>
        <v>1</v>
      </c>
      <c r="P178">
        <v>15660</v>
      </c>
      <c r="Q178">
        <f t="shared" si="5"/>
        <v>0</v>
      </c>
      <c r="R178">
        <v>0</v>
      </c>
      <c r="S178">
        <v>10</v>
      </c>
      <c r="T178" t="b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600</v>
      </c>
      <c r="AH178">
        <v>0</v>
      </c>
      <c r="AI178">
        <v>0</v>
      </c>
      <c r="AJ178">
        <v>0</v>
      </c>
      <c r="AK178">
        <v>5000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10060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</row>
    <row r="179" spans="1:56" x14ac:dyDescent="0.3">
      <c r="A179" t="s">
        <v>91</v>
      </c>
      <c r="B179" t="s">
        <v>56</v>
      </c>
      <c r="C179">
        <v>2083</v>
      </c>
      <c r="D179">
        <v>1</v>
      </c>
      <c r="E179">
        <v>10</v>
      </c>
      <c r="F179" t="s">
        <v>62</v>
      </c>
      <c r="G179">
        <v>4930</v>
      </c>
      <c r="H179">
        <v>60</v>
      </c>
      <c r="I179">
        <v>100</v>
      </c>
      <c r="J179">
        <v>77.83</v>
      </c>
      <c r="K179" t="s">
        <v>58</v>
      </c>
      <c r="L179" t="s">
        <v>58</v>
      </c>
      <c r="M179" t="b">
        <v>0</v>
      </c>
      <c r="N179">
        <v>383701.89999999898</v>
      </c>
      <c r="O179" t="b">
        <f t="shared" si="4"/>
        <v>1</v>
      </c>
      <c r="P179">
        <v>4930</v>
      </c>
      <c r="Q179">
        <f t="shared" si="5"/>
        <v>0</v>
      </c>
      <c r="R179">
        <v>0</v>
      </c>
      <c r="S179">
        <v>10</v>
      </c>
      <c r="T179" t="b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1140</v>
      </c>
      <c r="AH179">
        <v>0</v>
      </c>
      <c r="AI179">
        <v>0</v>
      </c>
      <c r="AJ179">
        <v>0</v>
      </c>
      <c r="AK179">
        <v>2600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1190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</row>
    <row r="180" spans="1:56" x14ac:dyDescent="0.3">
      <c r="A180" t="s">
        <v>92</v>
      </c>
      <c r="B180" t="s">
        <v>56</v>
      </c>
      <c r="C180">
        <v>2082</v>
      </c>
      <c r="D180">
        <v>4</v>
      </c>
      <c r="E180">
        <v>1</v>
      </c>
      <c r="F180" t="s">
        <v>70</v>
      </c>
      <c r="G180">
        <v>142920</v>
      </c>
      <c r="H180">
        <v>100</v>
      </c>
      <c r="I180">
        <v>150</v>
      </c>
      <c r="J180">
        <v>113.8</v>
      </c>
      <c r="K180" t="s">
        <v>58</v>
      </c>
      <c r="L180" t="s">
        <v>58</v>
      </c>
      <c r="M180" t="b">
        <v>0</v>
      </c>
      <c r="N180">
        <v>16264296</v>
      </c>
      <c r="O180" t="b">
        <f t="shared" si="4"/>
        <v>1</v>
      </c>
      <c r="P180">
        <v>142920</v>
      </c>
      <c r="Q180">
        <f t="shared" si="5"/>
        <v>0</v>
      </c>
      <c r="R180">
        <v>0.36390987965295202</v>
      </c>
      <c r="S180">
        <v>10</v>
      </c>
      <c r="T180" t="b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23425</v>
      </c>
      <c r="AE180">
        <v>52010</v>
      </c>
      <c r="AF180">
        <v>0</v>
      </c>
      <c r="AG180">
        <v>42065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25420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 spans="1:56" x14ac:dyDescent="0.3">
      <c r="A181" t="s">
        <v>92</v>
      </c>
      <c r="B181" t="s">
        <v>56</v>
      </c>
      <c r="C181">
        <v>2082</v>
      </c>
      <c r="D181">
        <v>5</v>
      </c>
      <c r="E181">
        <v>2</v>
      </c>
      <c r="F181" t="s">
        <v>65</v>
      </c>
      <c r="G181">
        <v>90255</v>
      </c>
      <c r="H181">
        <v>40</v>
      </c>
      <c r="I181">
        <v>150</v>
      </c>
      <c r="J181">
        <v>82.78</v>
      </c>
      <c r="K181" t="s">
        <v>58</v>
      </c>
      <c r="L181" t="s">
        <v>58</v>
      </c>
      <c r="M181" t="b">
        <v>0</v>
      </c>
      <c r="N181">
        <v>7471308.9000000004</v>
      </c>
      <c r="O181" t="b">
        <f t="shared" si="4"/>
        <v>1</v>
      </c>
      <c r="P181">
        <v>90255</v>
      </c>
      <c r="Q181">
        <f t="shared" si="5"/>
        <v>0</v>
      </c>
      <c r="R181">
        <v>0.46623455764223498</v>
      </c>
      <c r="S181">
        <v>10</v>
      </c>
      <c r="T181" t="b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8050</v>
      </c>
      <c r="AE181">
        <v>42080</v>
      </c>
      <c r="AF181">
        <v>0</v>
      </c>
      <c r="AG181">
        <v>15365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24760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</row>
    <row r="182" spans="1:56" x14ac:dyDescent="0.3">
      <c r="A182" t="s">
        <v>92</v>
      </c>
      <c r="B182" t="s">
        <v>56</v>
      </c>
      <c r="C182">
        <v>2082</v>
      </c>
      <c r="D182">
        <v>6</v>
      </c>
      <c r="E182">
        <v>3</v>
      </c>
      <c r="F182" t="s">
        <v>66</v>
      </c>
      <c r="G182">
        <v>95145</v>
      </c>
      <c r="H182">
        <v>120</v>
      </c>
      <c r="I182">
        <v>180</v>
      </c>
      <c r="J182">
        <v>146.88</v>
      </c>
      <c r="K182" t="s">
        <v>58</v>
      </c>
      <c r="L182" t="s">
        <v>58</v>
      </c>
      <c r="M182" t="b">
        <v>0</v>
      </c>
      <c r="N182">
        <v>13974897.6</v>
      </c>
      <c r="O182" t="b">
        <f t="shared" si="4"/>
        <v>1</v>
      </c>
      <c r="P182">
        <v>95145</v>
      </c>
      <c r="Q182">
        <f t="shared" si="5"/>
        <v>0</v>
      </c>
      <c r="R182">
        <v>0.52998055599348304</v>
      </c>
      <c r="S182">
        <v>10</v>
      </c>
      <c r="T182" t="b">
        <v>1</v>
      </c>
      <c r="U182">
        <v>0</v>
      </c>
      <c r="V182">
        <v>0</v>
      </c>
      <c r="W182">
        <v>4875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18470</v>
      </c>
      <c r="AE182">
        <v>50425</v>
      </c>
      <c r="AF182">
        <v>0</v>
      </c>
      <c r="AG182">
        <v>6555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14820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</row>
    <row r="183" spans="1:56" x14ac:dyDescent="0.3">
      <c r="A183" t="s">
        <v>92</v>
      </c>
      <c r="B183" t="s">
        <v>56</v>
      </c>
      <c r="C183">
        <v>2082</v>
      </c>
      <c r="D183">
        <v>7</v>
      </c>
      <c r="E183">
        <v>4</v>
      </c>
      <c r="F183" t="s">
        <v>67</v>
      </c>
      <c r="G183">
        <v>110755</v>
      </c>
      <c r="H183">
        <v>120</v>
      </c>
      <c r="I183">
        <v>180</v>
      </c>
      <c r="J183">
        <v>149</v>
      </c>
      <c r="K183" t="s">
        <v>58</v>
      </c>
      <c r="L183" t="s">
        <v>58</v>
      </c>
      <c r="M183" t="b">
        <v>0</v>
      </c>
      <c r="N183">
        <v>16502495</v>
      </c>
      <c r="O183" t="b">
        <f t="shared" si="4"/>
        <v>1</v>
      </c>
      <c r="P183">
        <v>110755</v>
      </c>
      <c r="Q183">
        <f t="shared" si="5"/>
        <v>0</v>
      </c>
      <c r="R183">
        <v>0.50643311814365</v>
      </c>
      <c r="S183">
        <v>10</v>
      </c>
      <c r="T183" t="b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42255</v>
      </c>
      <c r="AE183">
        <v>56090</v>
      </c>
      <c r="AF183">
        <v>0</v>
      </c>
      <c r="AG183">
        <v>2660</v>
      </c>
      <c r="AH183">
        <v>0</v>
      </c>
      <c r="AI183">
        <v>0</v>
      </c>
      <c r="AJ183">
        <v>0</v>
      </c>
      <c r="AK183">
        <v>0</v>
      </c>
      <c r="AL183">
        <v>7510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2240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</row>
    <row r="184" spans="1:56" x14ac:dyDescent="0.3">
      <c r="A184" t="s">
        <v>92</v>
      </c>
      <c r="B184" t="s">
        <v>56</v>
      </c>
      <c r="C184">
        <v>2082</v>
      </c>
      <c r="D184">
        <v>8</v>
      </c>
      <c r="E184">
        <v>5</v>
      </c>
      <c r="F184" t="s">
        <v>68</v>
      </c>
      <c r="G184">
        <v>120280</v>
      </c>
      <c r="H184">
        <v>120</v>
      </c>
      <c r="I184">
        <v>180</v>
      </c>
      <c r="J184">
        <v>141.11000000000001</v>
      </c>
      <c r="K184" t="s">
        <v>58</v>
      </c>
      <c r="L184" t="s">
        <v>58</v>
      </c>
      <c r="M184" t="b">
        <v>0</v>
      </c>
      <c r="N184">
        <v>16972710.800000001</v>
      </c>
      <c r="O184" t="b">
        <f t="shared" si="4"/>
        <v>1</v>
      </c>
      <c r="P184">
        <v>120280</v>
      </c>
      <c r="Q184">
        <f t="shared" si="5"/>
        <v>0</v>
      </c>
      <c r="R184">
        <v>0.29057199866977002</v>
      </c>
      <c r="S184">
        <v>10</v>
      </c>
      <c r="T184" t="b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13390</v>
      </c>
      <c r="AE184">
        <v>34950</v>
      </c>
      <c r="AF184">
        <v>0</v>
      </c>
      <c r="AG184">
        <v>42670</v>
      </c>
      <c r="AH184">
        <v>0</v>
      </c>
      <c r="AI184">
        <v>0</v>
      </c>
      <c r="AJ184">
        <v>0</v>
      </c>
      <c r="AK184">
        <v>250</v>
      </c>
      <c r="AL184">
        <v>0</v>
      </c>
      <c r="AM184">
        <v>0</v>
      </c>
      <c r="AN184">
        <v>3380</v>
      </c>
      <c r="AO184">
        <v>0</v>
      </c>
      <c r="AP184">
        <v>0</v>
      </c>
      <c r="AQ184">
        <v>25120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520</v>
      </c>
    </row>
    <row r="185" spans="1:56" x14ac:dyDescent="0.3">
      <c r="A185" t="s">
        <v>92</v>
      </c>
      <c r="B185" t="s">
        <v>56</v>
      </c>
      <c r="C185">
        <v>2082</v>
      </c>
      <c r="D185">
        <v>9</v>
      </c>
      <c r="E185">
        <v>6</v>
      </c>
      <c r="F185" t="s">
        <v>57</v>
      </c>
      <c r="G185">
        <v>148925</v>
      </c>
      <c r="H185">
        <v>60</v>
      </c>
      <c r="I185">
        <v>130</v>
      </c>
      <c r="J185">
        <v>88.86</v>
      </c>
      <c r="K185" t="s">
        <v>58</v>
      </c>
      <c r="L185" t="s">
        <v>58</v>
      </c>
      <c r="M185" t="b">
        <v>0</v>
      </c>
      <c r="N185">
        <v>13233475.5</v>
      </c>
      <c r="O185" t="b">
        <f t="shared" si="4"/>
        <v>1</v>
      </c>
      <c r="P185">
        <v>148925</v>
      </c>
      <c r="Q185">
        <f t="shared" si="5"/>
        <v>0</v>
      </c>
      <c r="R185">
        <v>1.0340775558166799E-2</v>
      </c>
      <c r="S185">
        <v>10</v>
      </c>
      <c r="T185" t="b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1540</v>
      </c>
      <c r="AF185">
        <v>0</v>
      </c>
      <c r="AG185">
        <v>43630</v>
      </c>
      <c r="AH185">
        <v>0</v>
      </c>
      <c r="AI185">
        <v>0</v>
      </c>
      <c r="AJ185">
        <v>0</v>
      </c>
      <c r="AK185">
        <v>3230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100525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</row>
    <row r="186" spans="1:56" x14ac:dyDescent="0.3">
      <c r="A186" t="s">
        <v>92</v>
      </c>
      <c r="B186" t="s">
        <v>56</v>
      </c>
      <c r="C186">
        <v>2082</v>
      </c>
      <c r="D186">
        <v>10</v>
      </c>
      <c r="E186">
        <v>7</v>
      </c>
      <c r="F186" t="s">
        <v>59</v>
      </c>
      <c r="G186">
        <v>92830</v>
      </c>
      <c r="H186">
        <v>40</v>
      </c>
      <c r="I186">
        <v>80</v>
      </c>
      <c r="J186">
        <v>60.71</v>
      </c>
      <c r="K186" t="s">
        <v>58</v>
      </c>
      <c r="L186" t="s">
        <v>58</v>
      </c>
      <c r="M186" t="b">
        <v>0</v>
      </c>
      <c r="N186">
        <v>5635709.2999999998</v>
      </c>
      <c r="O186" t="b">
        <f t="shared" si="4"/>
        <v>1</v>
      </c>
      <c r="P186">
        <v>92830</v>
      </c>
      <c r="Q186">
        <f t="shared" si="5"/>
        <v>0</v>
      </c>
      <c r="R186">
        <v>0</v>
      </c>
      <c r="S186">
        <v>10</v>
      </c>
      <c r="T186" t="b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10470</v>
      </c>
      <c r="AH186">
        <v>0</v>
      </c>
      <c r="AI186">
        <v>0</v>
      </c>
      <c r="AJ186">
        <v>0</v>
      </c>
      <c r="AK186">
        <v>5710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76650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</row>
    <row r="187" spans="1:56" x14ac:dyDescent="0.3">
      <c r="A187" t="s">
        <v>92</v>
      </c>
      <c r="B187" t="s">
        <v>56</v>
      </c>
      <c r="C187">
        <v>2082</v>
      </c>
      <c r="D187">
        <v>11</v>
      </c>
      <c r="E187">
        <v>8</v>
      </c>
      <c r="F187" t="s">
        <v>60</v>
      </c>
      <c r="G187">
        <v>106670</v>
      </c>
      <c r="H187">
        <v>40</v>
      </c>
      <c r="I187">
        <v>80</v>
      </c>
      <c r="J187">
        <v>56.11</v>
      </c>
      <c r="K187" t="s">
        <v>58</v>
      </c>
      <c r="L187" t="s">
        <v>58</v>
      </c>
      <c r="M187" t="b">
        <v>0</v>
      </c>
      <c r="N187">
        <v>5985253.7000000002</v>
      </c>
      <c r="O187" t="b">
        <f t="shared" si="4"/>
        <v>1</v>
      </c>
      <c r="P187">
        <v>106670</v>
      </c>
      <c r="Q187">
        <f t="shared" si="5"/>
        <v>0</v>
      </c>
      <c r="R187">
        <v>0</v>
      </c>
      <c r="S187">
        <v>10</v>
      </c>
      <c r="T187" t="b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6000</v>
      </c>
      <c r="AH187">
        <v>0</v>
      </c>
      <c r="AI187">
        <v>0</v>
      </c>
      <c r="AJ187">
        <v>0</v>
      </c>
      <c r="AK187">
        <v>22750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77920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</row>
    <row r="188" spans="1:56" x14ac:dyDescent="0.3">
      <c r="A188" t="s">
        <v>92</v>
      </c>
      <c r="B188" t="s">
        <v>56</v>
      </c>
      <c r="C188">
        <v>2082</v>
      </c>
      <c r="D188">
        <v>12</v>
      </c>
      <c r="E188">
        <v>9</v>
      </c>
      <c r="F188" t="s">
        <v>61</v>
      </c>
      <c r="G188">
        <v>235385</v>
      </c>
      <c r="H188">
        <v>30</v>
      </c>
      <c r="I188">
        <v>60</v>
      </c>
      <c r="J188">
        <v>45.91</v>
      </c>
      <c r="K188" t="s">
        <v>58</v>
      </c>
      <c r="L188" t="s">
        <v>58</v>
      </c>
      <c r="M188" t="b">
        <v>0</v>
      </c>
      <c r="N188">
        <v>10806525.35</v>
      </c>
      <c r="O188" t="b">
        <f t="shared" si="4"/>
        <v>1</v>
      </c>
      <c r="P188">
        <v>235385</v>
      </c>
      <c r="Q188">
        <f t="shared" si="5"/>
        <v>0</v>
      </c>
      <c r="R188">
        <v>0</v>
      </c>
      <c r="S188">
        <v>10</v>
      </c>
      <c r="T188" t="b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13175</v>
      </c>
      <c r="AH188">
        <v>0</v>
      </c>
      <c r="AI188">
        <v>0</v>
      </c>
      <c r="AJ188">
        <v>0</v>
      </c>
      <c r="AK188">
        <v>46080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176130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</row>
    <row r="189" spans="1:56" x14ac:dyDescent="0.3">
      <c r="A189" t="s">
        <v>92</v>
      </c>
      <c r="B189" t="s">
        <v>56</v>
      </c>
      <c r="C189">
        <v>2083</v>
      </c>
      <c r="D189">
        <v>1</v>
      </c>
      <c r="E189">
        <v>10</v>
      </c>
      <c r="F189" t="s">
        <v>62</v>
      </c>
      <c r="G189">
        <v>112335</v>
      </c>
      <c r="H189">
        <v>30</v>
      </c>
      <c r="I189">
        <v>70</v>
      </c>
      <c r="J189">
        <v>46.74</v>
      </c>
      <c r="K189" t="s">
        <v>58</v>
      </c>
      <c r="L189" t="s">
        <v>58</v>
      </c>
      <c r="M189" t="b">
        <v>0</v>
      </c>
      <c r="N189">
        <v>5250537.9000000004</v>
      </c>
      <c r="O189" t="b">
        <f t="shared" si="4"/>
        <v>1</v>
      </c>
      <c r="P189">
        <v>112335</v>
      </c>
      <c r="Q189">
        <f t="shared" si="5"/>
        <v>0</v>
      </c>
      <c r="R189">
        <v>0</v>
      </c>
      <c r="S189">
        <v>10</v>
      </c>
      <c r="T189" t="b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18695</v>
      </c>
      <c r="AH189">
        <v>0</v>
      </c>
      <c r="AI189">
        <v>0</v>
      </c>
      <c r="AJ189">
        <v>0</v>
      </c>
      <c r="AK189">
        <v>29945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63695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</row>
    <row r="190" spans="1:56" x14ac:dyDescent="0.3">
      <c r="A190" t="s">
        <v>93</v>
      </c>
      <c r="B190" t="s">
        <v>56</v>
      </c>
      <c r="C190">
        <v>2082</v>
      </c>
      <c r="D190">
        <v>4</v>
      </c>
      <c r="E190">
        <v>1</v>
      </c>
      <c r="F190" t="s">
        <v>70</v>
      </c>
      <c r="G190">
        <v>215770</v>
      </c>
      <c r="H190">
        <v>70</v>
      </c>
      <c r="I190">
        <v>150</v>
      </c>
      <c r="J190">
        <v>95</v>
      </c>
      <c r="K190" t="s">
        <v>58</v>
      </c>
      <c r="L190" t="s">
        <v>58</v>
      </c>
      <c r="M190" t="b">
        <v>0</v>
      </c>
      <c r="N190">
        <v>20498150</v>
      </c>
      <c r="O190" t="b">
        <f t="shared" si="4"/>
        <v>1</v>
      </c>
      <c r="P190">
        <v>215770</v>
      </c>
      <c r="Q190">
        <f t="shared" si="5"/>
        <v>0</v>
      </c>
      <c r="R190">
        <v>0</v>
      </c>
      <c r="S190">
        <v>10</v>
      </c>
      <c r="T190" t="b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215770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</row>
    <row r="191" spans="1:56" x14ac:dyDescent="0.3">
      <c r="A191" t="s">
        <v>93</v>
      </c>
      <c r="B191" t="s">
        <v>56</v>
      </c>
      <c r="C191">
        <v>2082</v>
      </c>
      <c r="D191">
        <v>5</v>
      </c>
      <c r="E191">
        <v>2</v>
      </c>
      <c r="F191" t="s">
        <v>65</v>
      </c>
      <c r="G191">
        <v>157481</v>
      </c>
      <c r="H191">
        <v>60</v>
      </c>
      <c r="I191">
        <v>150</v>
      </c>
      <c r="J191">
        <v>83.06</v>
      </c>
      <c r="K191" t="s">
        <v>58</v>
      </c>
      <c r="L191" t="s">
        <v>58</v>
      </c>
      <c r="M191" t="b">
        <v>0</v>
      </c>
      <c r="N191">
        <v>13080371.859999999</v>
      </c>
      <c r="O191" t="b">
        <f t="shared" si="4"/>
        <v>0</v>
      </c>
      <c r="P191">
        <v>90255</v>
      </c>
      <c r="Q191">
        <f t="shared" si="5"/>
        <v>67226</v>
      </c>
      <c r="R191">
        <v>0.46623455764223498</v>
      </c>
      <c r="S191">
        <v>10</v>
      </c>
      <c r="T191" t="b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8050</v>
      </c>
      <c r="AE191">
        <v>42080</v>
      </c>
      <c r="AF191">
        <v>0</v>
      </c>
      <c r="AG191">
        <v>15365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24760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</row>
    <row r="192" spans="1:56" x14ac:dyDescent="0.3">
      <c r="A192" t="s">
        <v>93</v>
      </c>
      <c r="B192" t="s">
        <v>56</v>
      </c>
      <c r="C192">
        <v>2082</v>
      </c>
      <c r="D192">
        <v>6</v>
      </c>
      <c r="E192">
        <v>3</v>
      </c>
      <c r="F192" t="s">
        <v>66</v>
      </c>
      <c r="G192">
        <v>167944</v>
      </c>
      <c r="H192">
        <v>100</v>
      </c>
      <c r="I192">
        <v>200</v>
      </c>
      <c r="J192">
        <v>148.13</v>
      </c>
      <c r="K192" t="s">
        <v>58</v>
      </c>
      <c r="L192" t="s">
        <v>58</v>
      </c>
      <c r="M192" t="b">
        <v>0</v>
      </c>
      <c r="N192">
        <v>24877544.719999999</v>
      </c>
      <c r="O192" t="b">
        <f t="shared" si="4"/>
        <v>1</v>
      </c>
      <c r="P192">
        <v>167944</v>
      </c>
      <c r="Q192">
        <f t="shared" si="5"/>
        <v>0</v>
      </c>
      <c r="R192">
        <v>0</v>
      </c>
      <c r="S192">
        <v>10</v>
      </c>
      <c r="T192" t="b">
        <v>1</v>
      </c>
      <c r="U192">
        <v>0</v>
      </c>
      <c r="V192">
        <v>0</v>
      </c>
      <c r="W192">
        <v>15020</v>
      </c>
      <c r="X192">
        <v>0</v>
      </c>
      <c r="Y192">
        <v>0</v>
      </c>
      <c r="Z192">
        <v>0</v>
      </c>
      <c r="AA192">
        <v>0</v>
      </c>
      <c r="AB192">
        <v>26469</v>
      </c>
      <c r="AC192">
        <v>4410</v>
      </c>
      <c r="AD192">
        <v>113250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5565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3230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</row>
    <row r="193" spans="1:56" x14ac:dyDescent="0.3">
      <c r="A193" t="s">
        <v>93</v>
      </c>
      <c r="B193" t="s">
        <v>56</v>
      </c>
      <c r="C193">
        <v>2082</v>
      </c>
      <c r="D193">
        <v>7</v>
      </c>
      <c r="E193">
        <v>4</v>
      </c>
      <c r="F193" t="s">
        <v>67</v>
      </c>
      <c r="G193">
        <v>350358</v>
      </c>
      <c r="H193">
        <v>120</v>
      </c>
      <c r="I193">
        <v>180</v>
      </c>
      <c r="J193">
        <v>138.41999999999999</v>
      </c>
      <c r="K193" t="s">
        <v>58</v>
      </c>
      <c r="L193" t="s">
        <v>58</v>
      </c>
      <c r="M193" t="b">
        <v>0</v>
      </c>
      <c r="N193">
        <v>48496554.359999903</v>
      </c>
      <c r="O193" t="b">
        <f t="shared" si="4"/>
        <v>1</v>
      </c>
      <c r="P193">
        <v>350358</v>
      </c>
      <c r="Q193">
        <f t="shared" si="5"/>
        <v>0</v>
      </c>
      <c r="R193">
        <v>0</v>
      </c>
      <c r="S193">
        <v>10</v>
      </c>
      <c r="T193" t="b">
        <v>1</v>
      </c>
      <c r="U193">
        <v>0</v>
      </c>
      <c r="V193">
        <v>0</v>
      </c>
      <c r="W193">
        <v>18645</v>
      </c>
      <c r="X193">
        <v>0</v>
      </c>
      <c r="Y193">
        <v>0</v>
      </c>
      <c r="Z193">
        <v>0</v>
      </c>
      <c r="AA193">
        <v>0</v>
      </c>
      <c r="AB193">
        <v>59577</v>
      </c>
      <c r="AC193">
        <v>4100</v>
      </c>
      <c r="AD193">
        <v>154470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51221</v>
      </c>
      <c r="AL193">
        <v>920</v>
      </c>
      <c r="AM193">
        <v>0</v>
      </c>
      <c r="AN193">
        <v>0</v>
      </c>
      <c r="AO193">
        <v>0</v>
      </c>
      <c r="AP193">
        <v>0</v>
      </c>
      <c r="AQ193">
        <v>30180</v>
      </c>
      <c r="AR193">
        <v>0</v>
      </c>
      <c r="AS193">
        <v>3790</v>
      </c>
      <c r="AT193">
        <v>0</v>
      </c>
      <c r="AU193">
        <v>27455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</row>
    <row r="194" spans="1:56" x14ac:dyDescent="0.3">
      <c r="A194" t="s">
        <v>93</v>
      </c>
      <c r="B194" t="s">
        <v>56</v>
      </c>
      <c r="C194">
        <v>2082</v>
      </c>
      <c r="D194">
        <v>8</v>
      </c>
      <c r="E194">
        <v>5</v>
      </c>
      <c r="F194" t="s">
        <v>68</v>
      </c>
      <c r="G194">
        <v>354220</v>
      </c>
      <c r="H194">
        <v>60</v>
      </c>
      <c r="I194">
        <v>150</v>
      </c>
      <c r="J194">
        <v>98.42</v>
      </c>
      <c r="K194" t="s">
        <v>58</v>
      </c>
      <c r="L194" t="s">
        <v>58</v>
      </c>
      <c r="M194" t="b">
        <v>0</v>
      </c>
      <c r="N194">
        <v>34862332.399999999</v>
      </c>
      <c r="O194" t="b">
        <f t="shared" ref="O194:O257" si="6">IF(P194=G194,TRUE,FALSE)</f>
        <v>1</v>
      </c>
      <c r="P194">
        <v>354220</v>
      </c>
      <c r="Q194">
        <f t="shared" si="5"/>
        <v>0</v>
      </c>
      <c r="R194">
        <v>0</v>
      </c>
      <c r="S194">
        <v>10</v>
      </c>
      <c r="T194" t="b">
        <v>1</v>
      </c>
      <c r="U194">
        <v>0</v>
      </c>
      <c r="V194">
        <v>0</v>
      </c>
      <c r="W194">
        <v>0</v>
      </c>
      <c r="X194">
        <v>0</v>
      </c>
      <c r="Y194">
        <v>6925</v>
      </c>
      <c r="Z194">
        <v>0</v>
      </c>
      <c r="AA194">
        <v>0</v>
      </c>
      <c r="AB194">
        <v>83970</v>
      </c>
      <c r="AC194">
        <v>10560</v>
      </c>
      <c r="AD194">
        <v>41600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78560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91880</v>
      </c>
      <c r="AR194">
        <v>0</v>
      </c>
      <c r="AS194">
        <v>3060</v>
      </c>
      <c r="AT194">
        <v>0</v>
      </c>
      <c r="AU194">
        <v>25065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12600</v>
      </c>
    </row>
    <row r="195" spans="1:56" x14ac:dyDescent="0.3">
      <c r="A195" t="s">
        <v>93</v>
      </c>
      <c r="B195" t="s">
        <v>56</v>
      </c>
      <c r="C195">
        <v>2082</v>
      </c>
      <c r="D195">
        <v>9</v>
      </c>
      <c r="E195">
        <v>6</v>
      </c>
      <c r="F195" t="s">
        <v>57</v>
      </c>
      <c r="G195">
        <v>508352</v>
      </c>
      <c r="H195">
        <v>60</v>
      </c>
      <c r="I195">
        <v>140</v>
      </c>
      <c r="J195">
        <v>85.91</v>
      </c>
      <c r="K195" t="s">
        <v>58</v>
      </c>
      <c r="L195" t="s">
        <v>58</v>
      </c>
      <c r="M195" t="b">
        <v>0</v>
      </c>
      <c r="N195">
        <v>43672520.32</v>
      </c>
      <c r="O195" t="b">
        <f t="shared" si="6"/>
        <v>1</v>
      </c>
      <c r="P195">
        <v>508352</v>
      </c>
      <c r="Q195">
        <f t="shared" si="5"/>
        <v>0</v>
      </c>
      <c r="R195">
        <v>2.2622120105753401E-3</v>
      </c>
      <c r="S195">
        <v>10</v>
      </c>
      <c r="T195" t="b">
        <v>1</v>
      </c>
      <c r="U195">
        <v>0</v>
      </c>
      <c r="V195">
        <v>0</v>
      </c>
      <c r="W195">
        <v>0</v>
      </c>
      <c r="X195">
        <v>0</v>
      </c>
      <c r="Y195">
        <v>36595</v>
      </c>
      <c r="Z195">
        <v>0</v>
      </c>
      <c r="AA195">
        <v>0</v>
      </c>
      <c r="AB195">
        <v>80390</v>
      </c>
      <c r="AC195">
        <v>9825</v>
      </c>
      <c r="AD195">
        <v>0</v>
      </c>
      <c r="AE195">
        <v>1150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160909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211013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8470</v>
      </c>
    </row>
    <row r="196" spans="1:56" x14ac:dyDescent="0.3">
      <c r="A196" t="s">
        <v>93</v>
      </c>
      <c r="B196" t="s">
        <v>56</v>
      </c>
      <c r="C196">
        <v>2082</v>
      </c>
      <c r="D196">
        <v>10</v>
      </c>
      <c r="E196">
        <v>7</v>
      </c>
      <c r="F196" t="s">
        <v>59</v>
      </c>
      <c r="G196">
        <v>239175</v>
      </c>
      <c r="H196">
        <v>10</v>
      </c>
      <c r="I196">
        <v>140</v>
      </c>
      <c r="J196">
        <v>52.36</v>
      </c>
      <c r="K196" t="s">
        <v>58</v>
      </c>
      <c r="L196" t="s">
        <v>58</v>
      </c>
      <c r="M196" t="b">
        <v>0</v>
      </c>
      <c r="N196">
        <v>12523203</v>
      </c>
      <c r="O196" t="b">
        <f t="shared" si="6"/>
        <v>1</v>
      </c>
      <c r="P196">
        <v>239175</v>
      </c>
      <c r="Q196">
        <f t="shared" si="5"/>
        <v>0</v>
      </c>
      <c r="R196">
        <v>0</v>
      </c>
      <c r="S196">
        <v>10</v>
      </c>
      <c r="T196" t="b">
        <v>1</v>
      </c>
      <c r="U196">
        <v>0</v>
      </c>
      <c r="V196">
        <v>0</v>
      </c>
      <c r="W196">
        <v>0</v>
      </c>
      <c r="X196">
        <v>0</v>
      </c>
      <c r="Y196">
        <v>5320</v>
      </c>
      <c r="Z196">
        <v>0</v>
      </c>
      <c r="AA196">
        <v>0</v>
      </c>
      <c r="AB196">
        <v>25345</v>
      </c>
      <c r="AC196">
        <v>4540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113560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75360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15050</v>
      </c>
    </row>
    <row r="197" spans="1:56" x14ac:dyDescent="0.3">
      <c r="A197" t="s">
        <v>93</v>
      </c>
      <c r="B197" t="s">
        <v>56</v>
      </c>
      <c r="C197">
        <v>2082</v>
      </c>
      <c r="D197">
        <v>11</v>
      </c>
      <c r="E197">
        <v>8</v>
      </c>
      <c r="F197" t="s">
        <v>60</v>
      </c>
      <c r="G197">
        <v>174355</v>
      </c>
      <c r="H197">
        <v>10</v>
      </c>
      <c r="I197">
        <v>70</v>
      </c>
      <c r="J197">
        <v>37.5</v>
      </c>
      <c r="K197" t="s">
        <v>58</v>
      </c>
      <c r="L197" t="s">
        <v>58</v>
      </c>
      <c r="M197" t="b">
        <v>0</v>
      </c>
      <c r="N197">
        <v>6538312.5</v>
      </c>
      <c r="O197" t="b">
        <f t="shared" si="6"/>
        <v>1</v>
      </c>
      <c r="P197">
        <v>174355</v>
      </c>
      <c r="Q197">
        <f t="shared" si="5"/>
        <v>0</v>
      </c>
      <c r="R197">
        <v>0</v>
      </c>
      <c r="S197">
        <v>10</v>
      </c>
      <c r="T197" t="b">
        <v>1</v>
      </c>
      <c r="U197">
        <v>0</v>
      </c>
      <c r="V197">
        <v>0</v>
      </c>
      <c r="W197">
        <v>0</v>
      </c>
      <c r="X197">
        <v>0</v>
      </c>
      <c r="Y197">
        <v>1120</v>
      </c>
      <c r="Z197">
        <v>0</v>
      </c>
      <c r="AA197">
        <v>0</v>
      </c>
      <c r="AB197">
        <v>0</v>
      </c>
      <c r="AC197">
        <v>860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145810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18690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7875</v>
      </c>
    </row>
    <row r="198" spans="1:56" x14ac:dyDescent="0.3">
      <c r="A198" t="s">
        <v>93</v>
      </c>
      <c r="B198" t="s">
        <v>56</v>
      </c>
      <c r="C198">
        <v>2082</v>
      </c>
      <c r="D198">
        <v>12</v>
      </c>
      <c r="E198">
        <v>9</v>
      </c>
      <c r="F198" t="s">
        <v>61</v>
      </c>
      <c r="G198">
        <v>265410</v>
      </c>
      <c r="H198">
        <v>15</v>
      </c>
      <c r="I198">
        <v>120</v>
      </c>
      <c r="J198">
        <v>78.86</v>
      </c>
      <c r="K198" t="s">
        <v>58</v>
      </c>
      <c r="L198" t="s">
        <v>58</v>
      </c>
      <c r="M198" t="b">
        <v>0</v>
      </c>
      <c r="N198">
        <v>20930232.600000001</v>
      </c>
      <c r="O198" t="b">
        <f t="shared" si="6"/>
        <v>1</v>
      </c>
      <c r="P198">
        <v>265410</v>
      </c>
      <c r="Q198">
        <f t="shared" si="5"/>
        <v>0</v>
      </c>
      <c r="R198">
        <v>0</v>
      </c>
      <c r="S198">
        <v>10</v>
      </c>
      <c r="T198" t="b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41080</v>
      </c>
      <c r="AC198">
        <v>0</v>
      </c>
      <c r="AD198">
        <v>68000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156010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320</v>
      </c>
    </row>
    <row r="199" spans="1:56" x14ac:dyDescent="0.3">
      <c r="A199" t="s">
        <v>93</v>
      </c>
      <c r="B199" t="s">
        <v>56</v>
      </c>
      <c r="C199">
        <v>2083</v>
      </c>
      <c r="D199">
        <v>1</v>
      </c>
      <c r="E199">
        <v>10</v>
      </c>
      <c r="F199" t="s">
        <v>62</v>
      </c>
      <c r="G199">
        <v>245855</v>
      </c>
      <c r="H199">
        <v>50</v>
      </c>
      <c r="I199">
        <v>100</v>
      </c>
      <c r="J199">
        <v>67.39</v>
      </c>
      <c r="K199" t="s">
        <v>58</v>
      </c>
      <c r="L199" t="s">
        <v>58</v>
      </c>
      <c r="M199" t="b">
        <v>0</v>
      </c>
      <c r="N199">
        <v>16568168.449999999</v>
      </c>
      <c r="O199" t="b">
        <f t="shared" si="6"/>
        <v>1</v>
      </c>
      <c r="P199">
        <v>245855</v>
      </c>
      <c r="Q199">
        <f t="shared" si="5"/>
        <v>0</v>
      </c>
      <c r="R199">
        <v>0</v>
      </c>
      <c r="S199">
        <v>10</v>
      </c>
      <c r="T199" t="b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5800</v>
      </c>
      <c r="AC199">
        <v>0</v>
      </c>
      <c r="AD199">
        <v>161500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78555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</row>
    <row r="200" spans="1:56" x14ac:dyDescent="0.3">
      <c r="A200" t="s">
        <v>94</v>
      </c>
      <c r="B200" t="s">
        <v>56</v>
      </c>
      <c r="C200">
        <v>2082</v>
      </c>
      <c r="D200">
        <v>4</v>
      </c>
      <c r="E200">
        <v>1</v>
      </c>
      <c r="F200" t="s">
        <v>70</v>
      </c>
      <c r="G200">
        <v>231855</v>
      </c>
      <c r="H200">
        <v>80</v>
      </c>
      <c r="I200">
        <v>150</v>
      </c>
      <c r="J200">
        <v>105.4</v>
      </c>
      <c r="K200" t="s">
        <v>58</v>
      </c>
      <c r="L200" t="s">
        <v>58</v>
      </c>
      <c r="M200" t="b">
        <v>0</v>
      </c>
      <c r="N200">
        <v>24437517</v>
      </c>
      <c r="O200" t="b">
        <f t="shared" si="6"/>
        <v>1</v>
      </c>
      <c r="P200">
        <v>231855</v>
      </c>
      <c r="Q200">
        <f t="shared" si="5"/>
        <v>0</v>
      </c>
      <c r="R200">
        <v>0</v>
      </c>
      <c r="S200">
        <v>10</v>
      </c>
      <c r="T200" t="b">
        <v>1</v>
      </c>
      <c r="U200">
        <v>3840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7640</v>
      </c>
      <c r="AC200">
        <v>23835</v>
      </c>
      <c r="AD200">
        <v>48605</v>
      </c>
      <c r="AE200">
        <v>0</v>
      </c>
      <c r="AF200">
        <v>0</v>
      </c>
      <c r="AG200">
        <v>24965</v>
      </c>
      <c r="AH200">
        <v>0</v>
      </c>
      <c r="AI200">
        <v>0</v>
      </c>
      <c r="AJ200">
        <v>0</v>
      </c>
      <c r="AK200">
        <v>66005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44325</v>
      </c>
      <c r="AR200">
        <v>0</v>
      </c>
      <c r="AS200">
        <v>5080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4800</v>
      </c>
      <c r="BD200">
        <v>2760</v>
      </c>
    </row>
    <row r="201" spans="1:56" x14ac:dyDescent="0.3">
      <c r="A201" t="s">
        <v>94</v>
      </c>
      <c r="B201" t="s">
        <v>56</v>
      </c>
      <c r="C201">
        <v>2082</v>
      </c>
      <c r="D201">
        <v>5</v>
      </c>
      <c r="E201">
        <v>2</v>
      </c>
      <c r="F201" t="s">
        <v>65</v>
      </c>
      <c r="G201">
        <v>181195</v>
      </c>
      <c r="H201">
        <v>60</v>
      </c>
      <c r="I201">
        <v>150</v>
      </c>
      <c r="J201">
        <v>98.75</v>
      </c>
      <c r="K201" t="s">
        <v>58</v>
      </c>
      <c r="L201" t="s">
        <v>58</v>
      </c>
      <c r="M201" t="b">
        <v>0</v>
      </c>
      <c r="N201">
        <v>17893006.25</v>
      </c>
      <c r="O201" t="b">
        <f t="shared" si="6"/>
        <v>1</v>
      </c>
      <c r="P201">
        <v>181195</v>
      </c>
      <c r="Q201">
        <f t="shared" si="5"/>
        <v>0</v>
      </c>
      <c r="R201">
        <v>0</v>
      </c>
      <c r="S201">
        <v>10</v>
      </c>
      <c r="T201" t="b">
        <v>1</v>
      </c>
      <c r="U201">
        <v>540</v>
      </c>
      <c r="V201">
        <v>0</v>
      </c>
      <c r="W201">
        <v>1120</v>
      </c>
      <c r="X201">
        <v>0</v>
      </c>
      <c r="Y201">
        <v>9485</v>
      </c>
      <c r="Z201">
        <v>0</v>
      </c>
      <c r="AA201">
        <v>0</v>
      </c>
      <c r="AB201">
        <v>22100</v>
      </c>
      <c r="AC201">
        <v>7500</v>
      </c>
      <c r="AD201">
        <v>41615</v>
      </c>
      <c r="AE201">
        <v>0</v>
      </c>
      <c r="AF201">
        <v>0</v>
      </c>
      <c r="AG201">
        <v>19645</v>
      </c>
      <c r="AH201">
        <v>0</v>
      </c>
      <c r="AI201">
        <v>0</v>
      </c>
      <c r="AJ201">
        <v>2560</v>
      </c>
      <c r="AK201">
        <v>37945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23650</v>
      </c>
      <c r="AR201">
        <v>0</v>
      </c>
      <c r="AS201">
        <v>5205</v>
      </c>
      <c r="AT201">
        <v>2680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6420</v>
      </c>
      <c r="BD201">
        <v>730</v>
      </c>
    </row>
    <row r="202" spans="1:56" x14ac:dyDescent="0.3">
      <c r="A202" t="s">
        <v>94</v>
      </c>
      <c r="B202" t="s">
        <v>56</v>
      </c>
      <c r="C202">
        <v>2082</v>
      </c>
      <c r="D202">
        <v>6</v>
      </c>
      <c r="E202">
        <v>3</v>
      </c>
      <c r="F202" t="s">
        <v>66</v>
      </c>
      <c r="G202">
        <v>161395</v>
      </c>
      <c r="H202">
        <v>120</v>
      </c>
      <c r="I202">
        <v>180</v>
      </c>
      <c r="J202">
        <v>142.5</v>
      </c>
      <c r="K202" t="s">
        <v>58</v>
      </c>
      <c r="L202" t="s">
        <v>58</v>
      </c>
      <c r="M202" t="b">
        <v>0</v>
      </c>
      <c r="N202">
        <v>22998787.5</v>
      </c>
      <c r="O202" t="b">
        <f t="shared" si="6"/>
        <v>0</v>
      </c>
      <c r="P202">
        <v>165315</v>
      </c>
      <c r="Q202">
        <f t="shared" si="5"/>
        <v>3920</v>
      </c>
      <c r="R202">
        <v>0.11118168345280199</v>
      </c>
      <c r="S202">
        <v>10</v>
      </c>
      <c r="T202" t="b">
        <v>1</v>
      </c>
      <c r="U202">
        <v>0</v>
      </c>
      <c r="V202">
        <v>0</v>
      </c>
      <c r="W202">
        <v>1540</v>
      </c>
      <c r="X202">
        <v>0</v>
      </c>
      <c r="Y202">
        <v>540</v>
      </c>
      <c r="Z202">
        <v>0</v>
      </c>
      <c r="AA202">
        <v>0</v>
      </c>
      <c r="AB202">
        <v>29225</v>
      </c>
      <c r="AC202">
        <v>3450</v>
      </c>
      <c r="AD202">
        <v>41635</v>
      </c>
      <c r="AE202">
        <v>18380</v>
      </c>
      <c r="AF202">
        <v>0</v>
      </c>
      <c r="AG202">
        <v>6100</v>
      </c>
      <c r="AH202">
        <v>0</v>
      </c>
      <c r="AI202">
        <v>0</v>
      </c>
      <c r="AJ202">
        <v>7840</v>
      </c>
      <c r="AK202">
        <v>28205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22080</v>
      </c>
      <c r="AR202">
        <v>0</v>
      </c>
      <c r="AS202">
        <v>4110</v>
      </c>
      <c r="AT202">
        <v>1680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530</v>
      </c>
      <c r="BD202">
        <v>0</v>
      </c>
    </row>
    <row r="203" spans="1:56" x14ac:dyDescent="0.3">
      <c r="A203" t="s">
        <v>94</v>
      </c>
      <c r="B203" t="s">
        <v>56</v>
      </c>
      <c r="C203">
        <v>2082</v>
      </c>
      <c r="D203">
        <v>7</v>
      </c>
      <c r="E203">
        <v>4</v>
      </c>
      <c r="F203" t="s">
        <v>67</v>
      </c>
      <c r="G203">
        <v>182906</v>
      </c>
      <c r="H203">
        <v>120</v>
      </c>
      <c r="I203">
        <v>180</v>
      </c>
      <c r="J203">
        <v>135.79</v>
      </c>
      <c r="K203" t="s">
        <v>58</v>
      </c>
      <c r="L203" t="s">
        <v>58</v>
      </c>
      <c r="M203" t="b">
        <v>0</v>
      </c>
      <c r="N203">
        <v>24836805.739999998</v>
      </c>
      <c r="O203" t="b">
        <f t="shared" si="6"/>
        <v>1</v>
      </c>
      <c r="P203">
        <v>182906</v>
      </c>
      <c r="Q203">
        <f t="shared" si="5"/>
        <v>0</v>
      </c>
      <c r="R203">
        <v>0.36444949864957898</v>
      </c>
      <c r="S203">
        <v>10</v>
      </c>
      <c r="T203" t="b">
        <v>1</v>
      </c>
      <c r="U203">
        <v>0</v>
      </c>
      <c r="V203">
        <v>0</v>
      </c>
      <c r="W203">
        <v>7620</v>
      </c>
      <c r="X203">
        <v>0</v>
      </c>
      <c r="Y203">
        <v>9540</v>
      </c>
      <c r="Z203">
        <v>0</v>
      </c>
      <c r="AA203">
        <v>870</v>
      </c>
      <c r="AB203">
        <v>19810</v>
      </c>
      <c r="AC203">
        <v>1080</v>
      </c>
      <c r="AD203">
        <v>29180</v>
      </c>
      <c r="AE203">
        <v>66660</v>
      </c>
      <c r="AF203">
        <v>0</v>
      </c>
      <c r="AG203">
        <v>1120</v>
      </c>
      <c r="AH203">
        <v>0</v>
      </c>
      <c r="AI203">
        <v>0</v>
      </c>
      <c r="AJ203">
        <v>3640</v>
      </c>
      <c r="AK203">
        <v>11250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28156</v>
      </c>
      <c r="AR203">
        <v>0</v>
      </c>
      <c r="AS203">
        <v>3050</v>
      </c>
      <c r="AT203">
        <v>0</v>
      </c>
      <c r="AU203">
        <v>930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 spans="1:56" x14ac:dyDescent="0.3">
      <c r="A204" t="s">
        <v>94</v>
      </c>
      <c r="B204" t="s">
        <v>56</v>
      </c>
      <c r="C204">
        <v>2082</v>
      </c>
      <c r="D204">
        <v>8</v>
      </c>
      <c r="E204">
        <v>5</v>
      </c>
      <c r="F204" t="s">
        <v>68</v>
      </c>
      <c r="G204">
        <v>202190</v>
      </c>
      <c r="H204">
        <v>100</v>
      </c>
      <c r="I204">
        <v>150</v>
      </c>
      <c r="J204">
        <v>125.53</v>
      </c>
      <c r="K204" t="s">
        <v>58</v>
      </c>
      <c r="L204" t="s">
        <v>58</v>
      </c>
      <c r="M204" t="b">
        <v>0</v>
      </c>
      <c r="N204">
        <v>25380910.699999999</v>
      </c>
      <c r="O204" t="b">
        <f t="shared" si="6"/>
        <v>1</v>
      </c>
      <c r="P204">
        <v>202190</v>
      </c>
      <c r="Q204">
        <f t="shared" si="5"/>
        <v>0</v>
      </c>
      <c r="R204">
        <v>0.47994460655818699</v>
      </c>
      <c r="S204">
        <v>10</v>
      </c>
      <c r="T204" t="b">
        <v>1</v>
      </c>
      <c r="U204">
        <v>0</v>
      </c>
      <c r="V204">
        <v>0</v>
      </c>
      <c r="W204">
        <v>240</v>
      </c>
      <c r="X204">
        <v>0</v>
      </c>
      <c r="Y204">
        <v>24760</v>
      </c>
      <c r="Z204">
        <v>0</v>
      </c>
      <c r="AA204">
        <v>2220</v>
      </c>
      <c r="AB204">
        <v>19600</v>
      </c>
      <c r="AC204">
        <v>4190</v>
      </c>
      <c r="AD204">
        <v>6210</v>
      </c>
      <c r="AE204">
        <v>97040</v>
      </c>
      <c r="AF204">
        <v>0</v>
      </c>
      <c r="AG204">
        <v>1120</v>
      </c>
      <c r="AH204">
        <v>0</v>
      </c>
      <c r="AI204">
        <v>0</v>
      </c>
      <c r="AJ204">
        <v>560</v>
      </c>
      <c r="AK204">
        <v>18465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25675</v>
      </c>
      <c r="AR204">
        <v>0</v>
      </c>
      <c r="AS204">
        <v>2110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</row>
    <row r="205" spans="1:56" x14ac:dyDescent="0.3">
      <c r="A205" t="s">
        <v>94</v>
      </c>
      <c r="B205" t="s">
        <v>56</v>
      </c>
      <c r="C205">
        <v>2082</v>
      </c>
      <c r="D205">
        <v>9</v>
      </c>
      <c r="E205">
        <v>6</v>
      </c>
      <c r="F205" t="s">
        <v>57</v>
      </c>
      <c r="G205">
        <v>228215</v>
      </c>
      <c r="H205">
        <v>100</v>
      </c>
      <c r="I205">
        <v>150</v>
      </c>
      <c r="J205">
        <v>125</v>
      </c>
      <c r="K205" t="s">
        <v>58</v>
      </c>
      <c r="L205" t="s">
        <v>58</v>
      </c>
      <c r="M205" t="b">
        <v>0</v>
      </c>
      <c r="N205">
        <v>28526875</v>
      </c>
      <c r="O205" t="b">
        <f t="shared" si="6"/>
        <v>1</v>
      </c>
      <c r="P205">
        <v>228215</v>
      </c>
      <c r="Q205">
        <f t="shared" si="5"/>
        <v>0</v>
      </c>
      <c r="R205">
        <v>0.66763797296409</v>
      </c>
      <c r="S205">
        <v>10</v>
      </c>
      <c r="T205" t="b">
        <v>1</v>
      </c>
      <c r="U205">
        <v>0</v>
      </c>
      <c r="V205">
        <v>0</v>
      </c>
      <c r="W205">
        <v>540</v>
      </c>
      <c r="X205">
        <v>0</v>
      </c>
      <c r="Y205">
        <v>10600</v>
      </c>
      <c r="Z205">
        <v>0</v>
      </c>
      <c r="AA205">
        <v>5200</v>
      </c>
      <c r="AB205">
        <v>5650</v>
      </c>
      <c r="AC205">
        <v>17025</v>
      </c>
      <c r="AD205">
        <v>0</v>
      </c>
      <c r="AE205">
        <v>152365</v>
      </c>
      <c r="AF205">
        <v>0</v>
      </c>
      <c r="AG205">
        <v>0</v>
      </c>
      <c r="AH205">
        <v>0</v>
      </c>
      <c r="AI205">
        <v>0</v>
      </c>
      <c r="AJ205">
        <v>520</v>
      </c>
      <c r="AK205">
        <v>17340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18455</v>
      </c>
      <c r="AR205">
        <v>0</v>
      </c>
      <c r="AS205">
        <v>520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</row>
    <row r="206" spans="1:56" x14ac:dyDescent="0.3">
      <c r="A206" t="s">
        <v>94</v>
      </c>
      <c r="B206" t="s">
        <v>56</v>
      </c>
      <c r="C206">
        <v>2082</v>
      </c>
      <c r="D206">
        <v>10</v>
      </c>
      <c r="E206">
        <v>7</v>
      </c>
      <c r="F206" t="s">
        <v>59</v>
      </c>
      <c r="G206">
        <v>140244</v>
      </c>
      <c r="H206">
        <v>100</v>
      </c>
      <c r="I206">
        <v>220</v>
      </c>
      <c r="J206">
        <v>165.43</v>
      </c>
      <c r="K206" t="s">
        <v>58</v>
      </c>
      <c r="L206" t="s">
        <v>58</v>
      </c>
      <c r="M206" t="b">
        <v>0</v>
      </c>
      <c r="N206">
        <v>23200564.920000002</v>
      </c>
      <c r="O206" t="b">
        <f t="shared" si="6"/>
        <v>1</v>
      </c>
      <c r="P206">
        <v>140244</v>
      </c>
      <c r="Q206">
        <f t="shared" ref="Q206:Q269" si="7">ABS(P206-G206)</f>
        <v>0</v>
      </c>
      <c r="R206">
        <v>0.778072502210433</v>
      </c>
      <c r="S206">
        <v>10</v>
      </c>
      <c r="T206" t="b">
        <v>1</v>
      </c>
      <c r="U206">
        <v>0</v>
      </c>
      <c r="V206">
        <v>0</v>
      </c>
      <c r="W206">
        <v>0</v>
      </c>
      <c r="X206">
        <v>0</v>
      </c>
      <c r="Y206">
        <v>10630</v>
      </c>
      <c r="Z206">
        <v>0</v>
      </c>
      <c r="AA206">
        <v>120</v>
      </c>
      <c r="AB206">
        <v>210</v>
      </c>
      <c r="AC206">
        <v>2675</v>
      </c>
      <c r="AD206">
        <v>0</v>
      </c>
      <c r="AE206">
        <v>109120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524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16965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</row>
    <row r="207" spans="1:56" x14ac:dyDescent="0.3">
      <c r="A207" t="s">
        <v>94</v>
      </c>
      <c r="B207" t="s">
        <v>56</v>
      </c>
      <c r="C207">
        <v>2082</v>
      </c>
      <c r="D207">
        <v>11</v>
      </c>
      <c r="E207">
        <v>8</v>
      </c>
      <c r="F207" t="s">
        <v>60</v>
      </c>
      <c r="G207">
        <v>110415</v>
      </c>
      <c r="H207">
        <v>150</v>
      </c>
      <c r="I207">
        <v>220</v>
      </c>
      <c r="J207">
        <v>197.78</v>
      </c>
      <c r="K207" t="s">
        <v>58</v>
      </c>
      <c r="L207" t="s">
        <v>58</v>
      </c>
      <c r="M207" t="b">
        <v>0</v>
      </c>
      <c r="N207">
        <v>21837878.699999999</v>
      </c>
      <c r="O207" t="b">
        <f t="shared" si="6"/>
        <v>1</v>
      </c>
      <c r="P207">
        <v>110415</v>
      </c>
      <c r="Q207">
        <f t="shared" si="7"/>
        <v>0</v>
      </c>
      <c r="R207">
        <v>0.82217090069284005</v>
      </c>
      <c r="S207">
        <v>10</v>
      </c>
      <c r="T207" t="b">
        <v>1</v>
      </c>
      <c r="U207">
        <v>0</v>
      </c>
      <c r="V207">
        <v>0</v>
      </c>
      <c r="W207">
        <v>0</v>
      </c>
      <c r="X207">
        <v>0</v>
      </c>
      <c r="Y207">
        <v>3810</v>
      </c>
      <c r="Z207">
        <v>0</v>
      </c>
      <c r="AA207">
        <v>0</v>
      </c>
      <c r="AB207">
        <v>0</v>
      </c>
      <c r="AC207">
        <v>150</v>
      </c>
      <c r="AD207">
        <v>0</v>
      </c>
      <c r="AE207">
        <v>90780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15650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</row>
    <row r="208" spans="1:56" x14ac:dyDescent="0.3">
      <c r="A208" t="s">
        <v>94</v>
      </c>
      <c r="B208" t="s">
        <v>56</v>
      </c>
      <c r="C208">
        <v>2082</v>
      </c>
      <c r="D208">
        <v>12</v>
      </c>
      <c r="E208">
        <v>9</v>
      </c>
      <c r="F208" t="s">
        <v>61</v>
      </c>
      <c r="G208">
        <v>169325</v>
      </c>
      <c r="H208">
        <v>130</v>
      </c>
      <c r="I208">
        <v>220</v>
      </c>
      <c r="J208">
        <v>174.32</v>
      </c>
      <c r="K208" t="s">
        <v>58</v>
      </c>
      <c r="L208" t="s">
        <v>58</v>
      </c>
      <c r="M208" t="b">
        <v>0</v>
      </c>
      <c r="N208">
        <v>29516734</v>
      </c>
      <c r="O208" t="b">
        <f t="shared" si="6"/>
        <v>1</v>
      </c>
      <c r="P208">
        <v>169325</v>
      </c>
      <c r="Q208">
        <f t="shared" si="7"/>
        <v>0</v>
      </c>
      <c r="R208">
        <v>0.770766277868005</v>
      </c>
      <c r="S208">
        <v>10</v>
      </c>
      <c r="T208" t="b">
        <v>1</v>
      </c>
      <c r="U208">
        <v>0</v>
      </c>
      <c r="V208">
        <v>0</v>
      </c>
      <c r="W208">
        <v>0</v>
      </c>
      <c r="X208">
        <v>0</v>
      </c>
      <c r="Y208">
        <v>19380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130510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19410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</row>
    <row r="209" spans="1:56" x14ac:dyDescent="0.3">
      <c r="A209" t="s">
        <v>94</v>
      </c>
      <c r="B209" t="s">
        <v>56</v>
      </c>
      <c r="C209">
        <v>2083</v>
      </c>
      <c r="D209">
        <v>1</v>
      </c>
      <c r="E209">
        <v>10</v>
      </c>
      <c r="F209" t="s">
        <v>62</v>
      </c>
      <c r="G209">
        <v>187097</v>
      </c>
      <c r="H209">
        <v>100</v>
      </c>
      <c r="I209">
        <v>180</v>
      </c>
      <c r="J209">
        <v>130.22</v>
      </c>
      <c r="K209" t="s">
        <v>58</v>
      </c>
      <c r="L209" t="s">
        <v>58</v>
      </c>
      <c r="M209" t="b">
        <v>0</v>
      </c>
      <c r="N209">
        <v>24363771.34</v>
      </c>
      <c r="O209" t="b">
        <f t="shared" si="6"/>
        <v>1</v>
      </c>
      <c r="P209">
        <v>187097</v>
      </c>
      <c r="Q209">
        <f t="shared" si="7"/>
        <v>0</v>
      </c>
      <c r="R209">
        <v>0.57038327712363102</v>
      </c>
      <c r="S209">
        <v>10</v>
      </c>
      <c r="T209" t="b">
        <v>1</v>
      </c>
      <c r="U209">
        <v>0</v>
      </c>
      <c r="V209">
        <v>0</v>
      </c>
      <c r="W209">
        <v>0</v>
      </c>
      <c r="X209">
        <v>0</v>
      </c>
      <c r="Y209">
        <v>16585</v>
      </c>
      <c r="Z209">
        <v>0</v>
      </c>
      <c r="AA209">
        <v>0</v>
      </c>
      <c r="AB209">
        <v>1140</v>
      </c>
      <c r="AC209">
        <v>0</v>
      </c>
      <c r="AD209">
        <v>0</v>
      </c>
      <c r="AE209">
        <v>106717</v>
      </c>
      <c r="AF209">
        <v>0</v>
      </c>
      <c r="AG209">
        <v>3710</v>
      </c>
      <c r="AH209">
        <v>0</v>
      </c>
      <c r="AI209">
        <v>0</v>
      </c>
      <c r="AJ209">
        <v>0</v>
      </c>
      <c r="AK209">
        <v>7875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51070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 spans="1:56" x14ac:dyDescent="0.3">
      <c r="A210" t="s">
        <v>95</v>
      </c>
      <c r="B210" t="s">
        <v>56</v>
      </c>
      <c r="C210">
        <v>2082</v>
      </c>
      <c r="D210">
        <v>4</v>
      </c>
      <c r="E210">
        <v>1</v>
      </c>
      <c r="F210" t="s">
        <v>70</v>
      </c>
      <c r="G210">
        <v>25150</v>
      </c>
      <c r="H210">
        <v>60</v>
      </c>
      <c r="I210">
        <v>70</v>
      </c>
      <c r="J210">
        <v>65</v>
      </c>
      <c r="K210" t="s">
        <v>58</v>
      </c>
      <c r="L210" t="s">
        <v>58</v>
      </c>
      <c r="M210" t="b">
        <v>0</v>
      </c>
      <c r="N210">
        <v>1634750</v>
      </c>
      <c r="O210" t="b">
        <f t="shared" si="6"/>
        <v>1</v>
      </c>
      <c r="P210">
        <v>25150</v>
      </c>
      <c r="Q210">
        <f t="shared" si="7"/>
        <v>0</v>
      </c>
      <c r="R210">
        <v>0</v>
      </c>
      <c r="S210">
        <v>10</v>
      </c>
      <c r="T210" t="b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19250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5900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</row>
    <row r="211" spans="1:56" x14ac:dyDescent="0.3">
      <c r="A211" t="s">
        <v>95</v>
      </c>
      <c r="B211" t="s">
        <v>56</v>
      </c>
      <c r="C211">
        <v>2082</v>
      </c>
      <c r="D211">
        <v>5</v>
      </c>
      <c r="E211">
        <v>2</v>
      </c>
      <c r="F211" t="s">
        <v>65</v>
      </c>
      <c r="G211">
        <v>40225</v>
      </c>
      <c r="H211">
        <v>50</v>
      </c>
      <c r="I211">
        <v>80</v>
      </c>
      <c r="J211">
        <v>68.61</v>
      </c>
      <c r="K211" t="s">
        <v>58</v>
      </c>
      <c r="L211" t="s">
        <v>58</v>
      </c>
      <c r="M211" t="b">
        <v>0</v>
      </c>
      <c r="N211">
        <v>2759837.25</v>
      </c>
      <c r="O211" t="b">
        <f t="shared" si="6"/>
        <v>1</v>
      </c>
      <c r="P211">
        <v>40225</v>
      </c>
      <c r="Q211">
        <f t="shared" si="7"/>
        <v>0</v>
      </c>
      <c r="R211">
        <v>0</v>
      </c>
      <c r="S211">
        <v>10</v>
      </c>
      <c r="T211" t="b">
        <v>1</v>
      </c>
      <c r="U211">
        <v>0</v>
      </c>
      <c r="V211">
        <v>0</v>
      </c>
      <c r="W211">
        <v>990</v>
      </c>
      <c r="X211">
        <v>0</v>
      </c>
      <c r="Y211">
        <v>0</v>
      </c>
      <c r="Z211">
        <v>0</v>
      </c>
      <c r="AA211">
        <v>0</v>
      </c>
      <c r="AB211">
        <v>1120</v>
      </c>
      <c r="AC211">
        <v>0</v>
      </c>
      <c r="AD211">
        <v>25865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11070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1180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 spans="1:56" x14ac:dyDescent="0.3">
      <c r="A212" t="s">
        <v>95</v>
      </c>
      <c r="B212" t="s">
        <v>56</v>
      </c>
      <c r="C212">
        <v>2082</v>
      </c>
      <c r="D212">
        <v>6</v>
      </c>
      <c r="E212">
        <v>3</v>
      </c>
      <c r="F212" t="s">
        <v>66</v>
      </c>
      <c r="G212">
        <v>49146</v>
      </c>
      <c r="H212">
        <v>40</v>
      </c>
      <c r="I212">
        <v>60</v>
      </c>
      <c r="J212">
        <v>51.88</v>
      </c>
      <c r="K212" t="s">
        <v>58</v>
      </c>
      <c r="L212" t="s">
        <v>58</v>
      </c>
      <c r="M212" t="b">
        <v>0</v>
      </c>
      <c r="N212">
        <v>2549694.48</v>
      </c>
      <c r="O212" t="b">
        <f t="shared" si="6"/>
        <v>1</v>
      </c>
      <c r="P212">
        <v>49146</v>
      </c>
      <c r="Q212">
        <f t="shared" si="7"/>
        <v>0</v>
      </c>
      <c r="R212">
        <v>0</v>
      </c>
      <c r="S212">
        <v>10</v>
      </c>
      <c r="T212" t="b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27875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20131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1140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</row>
    <row r="213" spans="1:56" x14ac:dyDescent="0.3">
      <c r="A213" t="s">
        <v>95</v>
      </c>
      <c r="B213" t="s">
        <v>56</v>
      </c>
      <c r="C213">
        <v>2082</v>
      </c>
      <c r="D213">
        <v>7</v>
      </c>
      <c r="E213">
        <v>4</v>
      </c>
      <c r="F213" t="s">
        <v>67</v>
      </c>
      <c r="G213">
        <v>55790</v>
      </c>
      <c r="H213">
        <v>30</v>
      </c>
      <c r="I213">
        <v>50</v>
      </c>
      <c r="J213">
        <v>35.53</v>
      </c>
      <c r="K213" t="s">
        <v>58</v>
      </c>
      <c r="L213" t="s">
        <v>58</v>
      </c>
      <c r="M213" t="b">
        <v>0</v>
      </c>
      <c r="N213">
        <v>1982218.7</v>
      </c>
      <c r="O213" t="b">
        <f t="shared" si="6"/>
        <v>1</v>
      </c>
      <c r="P213">
        <v>55790</v>
      </c>
      <c r="Q213">
        <f t="shared" si="7"/>
        <v>0</v>
      </c>
      <c r="R213">
        <v>2.0075282308657402E-2</v>
      </c>
      <c r="S213">
        <v>10</v>
      </c>
      <c r="T213" t="b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1140</v>
      </c>
      <c r="AC213">
        <v>875</v>
      </c>
      <c r="AD213">
        <v>23540</v>
      </c>
      <c r="AE213">
        <v>1120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25935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1140</v>
      </c>
      <c r="AR213">
        <v>0</v>
      </c>
      <c r="AS213">
        <v>0</v>
      </c>
      <c r="AT213">
        <v>0</v>
      </c>
      <c r="AU213">
        <v>2040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</row>
    <row r="214" spans="1:56" x14ac:dyDescent="0.3">
      <c r="A214" t="s">
        <v>95</v>
      </c>
      <c r="B214" t="s">
        <v>56</v>
      </c>
      <c r="C214">
        <v>2082</v>
      </c>
      <c r="D214">
        <v>8</v>
      </c>
      <c r="E214">
        <v>5</v>
      </c>
      <c r="F214" t="s">
        <v>68</v>
      </c>
      <c r="G214">
        <v>37820</v>
      </c>
      <c r="H214">
        <v>30</v>
      </c>
      <c r="I214">
        <v>40</v>
      </c>
      <c r="J214">
        <v>35</v>
      </c>
      <c r="K214" t="s">
        <v>58</v>
      </c>
      <c r="L214" t="s">
        <v>58</v>
      </c>
      <c r="M214" t="b">
        <v>0</v>
      </c>
      <c r="N214">
        <v>1323700</v>
      </c>
      <c r="O214" t="b">
        <f t="shared" si="6"/>
        <v>1</v>
      </c>
      <c r="P214">
        <v>37820</v>
      </c>
      <c r="Q214">
        <f t="shared" si="7"/>
        <v>0</v>
      </c>
      <c r="R214">
        <v>0</v>
      </c>
      <c r="S214">
        <v>10</v>
      </c>
      <c r="T214" t="b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420</v>
      </c>
      <c r="AC214">
        <v>0</v>
      </c>
      <c r="AD214">
        <v>8330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29070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</row>
    <row r="215" spans="1:56" x14ac:dyDescent="0.3">
      <c r="A215" t="s">
        <v>95</v>
      </c>
      <c r="B215" t="s">
        <v>56</v>
      </c>
      <c r="C215">
        <v>2082</v>
      </c>
      <c r="D215">
        <v>9</v>
      </c>
      <c r="E215">
        <v>6</v>
      </c>
      <c r="F215" t="s">
        <v>57</v>
      </c>
      <c r="G215">
        <v>23850</v>
      </c>
      <c r="H215">
        <v>30</v>
      </c>
      <c r="I215">
        <v>40</v>
      </c>
      <c r="J215">
        <v>35</v>
      </c>
      <c r="K215" t="s">
        <v>58</v>
      </c>
      <c r="L215" t="s">
        <v>58</v>
      </c>
      <c r="M215" t="b">
        <v>0</v>
      </c>
      <c r="N215">
        <v>834750</v>
      </c>
      <c r="O215" t="b">
        <f t="shared" si="6"/>
        <v>1</v>
      </c>
      <c r="P215">
        <v>23850</v>
      </c>
      <c r="Q215">
        <f t="shared" si="7"/>
        <v>0</v>
      </c>
      <c r="R215">
        <v>0</v>
      </c>
      <c r="S215">
        <v>10</v>
      </c>
      <c r="T215" t="b">
        <v>1</v>
      </c>
      <c r="U215">
        <v>180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360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21660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1650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 spans="1:56" x14ac:dyDescent="0.3">
      <c r="A216" t="s">
        <v>95</v>
      </c>
      <c r="B216" t="s">
        <v>56</v>
      </c>
      <c r="C216">
        <v>2082</v>
      </c>
      <c r="D216">
        <v>10</v>
      </c>
      <c r="E216">
        <v>7</v>
      </c>
      <c r="F216" t="s">
        <v>59</v>
      </c>
      <c r="G216">
        <v>13900</v>
      </c>
      <c r="H216">
        <v>30</v>
      </c>
      <c r="I216">
        <v>80</v>
      </c>
      <c r="J216">
        <v>63</v>
      </c>
      <c r="K216" t="s">
        <v>58</v>
      </c>
      <c r="L216" t="s">
        <v>58</v>
      </c>
      <c r="M216" t="b">
        <v>0</v>
      </c>
      <c r="N216">
        <v>875700</v>
      </c>
      <c r="O216" t="b">
        <f t="shared" si="6"/>
        <v>1</v>
      </c>
      <c r="P216">
        <v>13900</v>
      </c>
      <c r="Q216">
        <f t="shared" si="7"/>
        <v>0</v>
      </c>
      <c r="R216">
        <v>0.78561151079136604</v>
      </c>
      <c r="S216">
        <v>10</v>
      </c>
      <c r="T216" t="b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10920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2980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 spans="1:56" x14ac:dyDescent="0.3">
      <c r="A217" t="s">
        <v>95</v>
      </c>
      <c r="B217" t="s">
        <v>56</v>
      </c>
      <c r="C217">
        <v>2082</v>
      </c>
      <c r="D217">
        <v>11</v>
      </c>
      <c r="E217">
        <v>8</v>
      </c>
      <c r="F217" t="s">
        <v>60</v>
      </c>
      <c r="G217">
        <v>11430</v>
      </c>
      <c r="H217">
        <v>60</v>
      </c>
      <c r="I217">
        <v>80</v>
      </c>
      <c r="J217">
        <v>70</v>
      </c>
      <c r="K217" t="s">
        <v>58</v>
      </c>
      <c r="L217" t="s">
        <v>58</v>
      </c>
      <c r="M217" t="b">
        <v>0</v>
      </c>
      <c r="N217">
        <v>800100</v>
      </c>
      <c r="O217" t="b">
        <f t="shared" si="6"/>
        <v>1</v>
      </c>
      <c r="P217">
        <v>11430</v>
      </c>
      <c r="Q217">
        <f t="shared" si="7"/>
        <v>0</v>
      </c>
      <c r="R217">
        <v>0.88801399825021798</v>
      </c>
      <c r="S217">
        <v>10</v>
      </c>
      <c r="T217" t="b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10150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1280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 spans="1:56" x14ac:dyDescent="0.3">
      <c r="A218" t="s">
        <v>95</v>
      </c>
      <c r="B218" t="s">
        <v>56</v>
      </c>
      <c r="C218">
        <v>2082</v>
      </c>
      <c r="D218">
        <v>12</v>
      </c>
      <c r="E218">
        <v>9</v>
      </c>
      <c r="F218" t="s">
        <v>61</v>
      </c>
      <c r="G218">
        <v>38038</v>
      </c>
      <c r="H218">
        <v>60</v>
      </c>
      <c r="I218">
        <v>70</v>
      </c>
      <c r="J218">
        <v>65</v>
      </c>
      <c r="K218" t="s">
        <v>58</v>
      </c>
      <c r="L218" t="s">
        <v>58</v>
      </c>
      <c r="M218" t="b">
        <v>0</v>
      </c>
      <c r="N218">
        <v>2472470</v>
      </c>
      <c r="O218" t="b">
        <f t="shared" si="6"/>
        <v>1</v>
      </c>
      <c r="P218">
        <v>38038</v>
      </c>
      <c r="Q218">
        <f t="shared" si="7"/>
        <v>0</v>
      </c>
      <c r="R218">
        <v>0.89226562910773399</v>
      </c>
      <c r="S218">
        <v>10</v>
      </c>
      <c r="T218" t="b">
        <v>1</v>
      </c>
      <c r="U218">
        <v>0</v>
      </c>
      <c r="V218">
        <v>0</v>
      </c>
      <c r="W218">
        <v>0</v>
      </c>
      <c r="X218">
        <v>0</v>
      </c>
      <c r="Y218">
        <v>1450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33940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2648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</row>
    <row r="219" spans="1:56" x14ac:dyDescent="0.3">
      <c r="A219" t="s">
        <v>95</v>
      </c>
      <c r="B219" t="s">
        <v>56</v>
      </c>
      <c r="C219">
        <v>2083</v>
      </c>
      <c r="D219">
        <v>1</v>
      </c>
      <c r="E219">
        <v>10</v>
      </c>
      <c r="F219" t="s">
        <v>62</v>
      </c>
      <c r="G219">
        <v>19785</v>
      </c>
      <c r="H219">
        <v>60</v>
      </c>
      <c r="I219">
        <v>70</v>
      </c>
      <c r="J219">
        <v>65</v>
      </c>
      <c r="K219" t="s">
        <v>58</v>
      </c>
      <c r="L219" t="s">
        <v>58</v>
      </c>
      <c r="M219" t="b">
        <v>0</v>
      </c>
      <c r="N219">
        <v>1286025</v>
      </c>
      <c r="O219" t="b">
        <f t="shared" si="6"/>
        <v>1</v>
      </c>
      <c r="P219">
        <v>19785</v>
      </c>
      <c r="Q219">
        <f t="shared" si="7"/>
        <v>0</v>
      </c>
      <c r="R219">
        <v>0.85772049532474004</v>
      </c>
      <c r="S219">
        <v>10</v>
      </c>
      <c r="T219" t="b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16970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2815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</row>
    <row r="220" spans="1:56" x14ac:dyDescent="0.3">
      <c r="A220" t="s">
        <v>96</v>
      </c>
      <c r="B220" t="s">
        <v>64</v>
      </c>
      <c r="C220">
        <v>2082</v>
      </c>
      <c r="D220">
        <v>4</v>
      </c>
      <c r="E220">
        <v>1</v>
      </c>
      <c r="F220" t="s">
        <v>70</v>
      </c>
      <c r="G220">
        <v>109395</v>
      </c>
      <c r="H220">
        <v>140</v>
      </c>
      <c r="I220">
        <v>160</v>
      </c>
      <c r="J220">
        <v>144.19999999999999</v>
      </c>
      <c r="K220" t="s">
        <v>97</v>
      </c>
      <c r="L220" t="s">
        <v>97</v>
      </c>
      <c r="M220" t="b">
        <v>1</v>
      </c>
      <c r="N220">
        <v>15774758.999999899</v>
      </c>
      <c r="O220" t="b">
        <f t="shared" si="6"/>
        <v>1</v>
      </c>
      <c r="P220">
        <v>109395</v>
      </c>
      <c r="Q220">
        <f t="shared" si="7"/>
        <v>0</v>
      </c>
      <c r="R220">
        <v>1</v>
      </c>
      <c r="S220">
        <v>10</v>
      </c>
      <c r="T220" t="b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109395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</row>
    <row r="221" spans="1:56" x14ac:dyDescent="0.3">
      <c r="A221" t="s">
        <v>96</v>
      </c>
      <c r="B221" t="s">
        <v>64</v>
      </c>
      <c r="C221">
        <v>2082</v>
      </c>
      <c r="D221">
        <v>5</v>
      </c>
      <c r="E221">
        <v>2</v>
      </c>
      <c r="F221" t="s">
        <v>65</v>
      </c>
      <c r="G221">
        <v>112165</v>
      </c>
      <c r="H221">
        <v>140</v>
      </c>
      <c r="I221">
        <v>160</v>
      </c>
      <c r="J221">
        <v>141.66999999999999</v>
      </c>
      <c r="K221" t="s">
        <v>97</v>
      </c>
      <c r="L221" t="s">
        <v>97</v>
      </c>
      <c r="M221" t="b">
        <v>1</v>
      </c>
      <c r="N221">
        <v>15890415.5499999</v>
      </c>
      <c r="O221" t="b">
        <f t="shared" si="6"/>
        <v>1</v>
      </c>
      <c r="P221">
        <v>112165</v>
      </c>
      <c r="Q221">
        <f t="shared" si="7"/>
        <v>0</v>
      </c>
      <c r="R221">
        <v>1</v>
      </c>
      <c r="S221">
        <v>10</v>
      </c>
      <c r="T221" t="b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112165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</row>
    <row r="222" spans="1:56" x14ac:dyDescent="0.3">
      <c r="A222" t="s">
        <v>96</v>
      </c>
      <c r="B222" t="s">
        <v>64</v>
      </c>
      <c r="C222">
        <v>2082</v>
      </c>
      <c r="D222">
        <v>6</v>
      </c>
      <c r="E222">
        <v>3</v>
      </c>
      <c r="F222" t="s">
        <v>66</v>
      </c>
      <c r="G222">
        <v>109385</v>
      </c>
      <c r="H222">
        <v>150</v>
      </c>
      <c r="I222">
        <v>160</v>
      </c>
      <c r="J222">
        <v>155</v>
      </c>
      <c r="K222" t="s">
        <v>97</v>
      </c>
      <c r="L222" t="s">
        <v>97</v>
      </c>
      <c r="M222" t="b">
        <v>1</v>
      </c>
      <c r="N222">
        <v>16954675</v>
      </c>
      <c r="O222" t="b">
        <f t="shared" si="6"/>
        <v>1</v>
      </c>
      <c r="P222">
        <v>109385</v>
      </c>
      <c r="Q222">
        <f t="shared" si="7"/>
        <v>0</v>
      </c>
      <c r="R222">
        <v>1</v>
      </c>
      <c r="S222">
        <v>10</v>
      </c>
      <c r="T222" t="b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109385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</row>
    <row r="223" spans="1:56" x14ac:dyDescent="0.3">
      <c r="A223" t="s">
        <v>96</v>
      </c>
      <c r="B223" t="s">
        <v>64</v>
      </c>
      <c r="C223">
        <v>2082</v>
      </c>
      <c r="D223">
        <v>7</v>
      </c>
      <c r="E223">
        <v>4</v>
      </c>
      <c r="F223" t="s">
        <v>67</v>
      </c>
      <c r="G223">
        <v>57060</v>
      </c>
      <c r="H223">
        <v>150</v>
      </c>
      <c r="I223">
        <v>160</v>
      </c>
      <c r="J223">
        <v>155</v>
      </c>
      <c r="K223" t="s">
        <v>97</v>
      </c>
      <c r="L223" t="s">
        <v>97</v>
      </c>
      <c r="M223" t="b">
        <v>1</v>
      </c>
      <c r="N223">
        <v>8844300</v>
      </c>
      <c r="O223" t="b">
        <f t="shared" si="6"/>
        <v>1</v>
      </c>
      <c r="P223">
        <v>57060</v>
      </c>
      <c r="Q223">
        <f t="shared" si="7"/>
        <v>0</v>
      </c>
      <c r="R223">
        <v>1</v>
      </c>
      <c r="S223">
        <v>10</v>
      </c>
      <c r="T223" t="b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57060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 spans="1:56" x14ac:dyDescent="0.3">
      <c r="A224" t="s">
        <v>96</v>
      </c>
      <c r="B224" t="s">
        <v>64</v>
      </c>
      <c r="C224">
        <v>2082</v>
      </c>
      <c r="D224">
        <v>8</v>
      </c>
      <c r="E224">
        <v>5</v>
      </c>
      <c r="F224" t="s">
        <v>68</v>
      </c>
      <c r="G224">
        <v>63855</v>
      </c>
      <c r="H224">
        <v>150</v>
      </c>
      <c r="I224">
        <v>160</v>
      </c>
      <c r="J224">
        <v>155</v>
      </c>
      <c r="K224" t="s">
        <v>97</v>
      </c>
      <c r="L224" t="s">
        <v>97</v>
      </c>
      <c r="M224" t="b">
        <v>1</v>
      </c>
      <c r="N224">
        <v>9897525</v>
      </c>
      <c r="O224" t="b">
        <f t="shared" si="6"/>
        <v>1</v>
      </c>
      <c r="P224">
        <v>63855</v>
      </c>
      <c r="Q224">
        <f t="shared" si="7"/>
        <v>0</v>
      </c>
      <c r="R224">
        <v>1</v>
      </c>
      <c r="S224">
        <v>10</v>
      </c>
      <c r="T224" t="b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63855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</row>
    <row r="225" spans="1:56" x14ac:dyDescent="0.3">
      <c r="A225" t="s">
        <v>96</v>
      </c>
      <c r="B225" t="s">
        <v>64</v>
      </c>
      <c r="C225">
        <v>2082</v>
      </c>
      <c r="D225">
        <v>9</v>
      </c>
      <c r="E225">
        <v>6</v>
      </c>
      <c r="F225" t="s">
        <v>57</v>
      </c>
      <c r="G225">
        <v>71140</v>
      </c>
      <c r="H225">
        <v>150</v>
      </c>
      <c r="I225">
        <v>160</v>
      </c>
      <c r="J225">
        <v>155</v>
      </c>
      <c r="K225" t="s">
        <v>97</v>
      </c>
      <c r="L225" t="s">
        <v>97</v>
      </c>
      <c r="M225" t="b">
        <v>1</v>
      </c>
      <c r="N225">
        <v>11026700</v>
      </c>
      <c r="O225" t="b">
        <f t="shared" si="6"/>
        <v>1</v>
      </c>
      <c r="P225">
        <v>71140</v>
      </c>
      <c r="Q225">
        <f t="shared" si="7"/>
        <v>0</v>
      </c>
      <c r="R225">
        <v>0.99550182738262505</v>
      </c>
      <c r="S225">
        <v>10</v>
      </c>
      <c r="T225" t="b">
        <v>1</v>
      </c>
      <c r="U225">
        <v>0</v>
      </c>
      <c r="V225">
        <v>0</v>
      </c>
      <c r="W225">
        <v>0</v>
      </c>
      <c r="X225">
        <v>0</v>
      </c>
      <c r="Y225">
        <v>320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70820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</row>
    <row r="226" spans="1:56" x14ac:dyDescent="0.3">
      <c r="A226" t="s">
        <v>96</v>
      </c>
      <c r="B226" t="s">
        <v>64</v>
      </c>
      <c r="C226">
        <v>2082</v>
      </c>
      <c r="D226">
        <v>10</v>
      </c>
      <c r="E226">
        <v>7</v>
      </c>
      <c r="F226" t="s">
        <v>59</v>
      </c>
      <c r="G226">
        <v>80995</v>
      </c>
      <c r="H226">
        <v>150</v>
      </c>
      <c r="I226">
        <v>160</v>
      </c>
      <c r="J226">
        <v>155</v>
      </c>
      <c r="K226" t="s">
        <v>97</v>
      </c>
      <c r="L226" t="s">
        <v>97</v>
      </c>
      <c r="M226" t="b">
        <v>1</v>
      </c>
      <c r="N226">
        <v>12554225</v>
      </c>
      <c r="O226" t="b">
        <f t="shared" si="6"/>
        <v>0</v>
      </c>
      <c r="P226">
        <v>80955</v>
      </c>
      <c r="Q226">
        <f t="shared" si="7"/>
        <v>40</v>
      </c>
      <c r="R226">
        <v>1</v>
      </c>
      <c r="S226">
        <v>10</v>
      </c>
      <c r="T226" t="b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80955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</row>
    <row r="227" spans="1:56" x14ac:dyDescent="0.3">
      <c r="A227" t="s">
        <v>96</v>
      </c>
      <c r="B227" t="s">
        <v>64</v>
      </c>
      <c r="C227">
        <v>2082</v>
      </c>
      <c r="D227">
        <v>11</v>
      </c>
      <c r="E227">
        <v>8</v>
      </c>
      <c r="F227" t="s">
        <v>60</v>
      </c>
      <c r="G227">
        <v>79890</v>
      </c>
      <c r="H227">
        <v>150</v>
      </c>
      <c r="I227">
        <v>160</v>
      </c>
      <c r="J227">
        <v>155</v>
      </c>
      <c r="K227" t="s">
        <v>97</v>
      </c>
      <c r="L227" t="s">
        <v>97</v>
      </c>
      <c r="M227" t="b">
        <v>1</v>
      </c>
      <c r="N227">
        <v>12382950</v>
      </c>
      <c r="O227" t="b">
        <f t="shared" si="6"/>
        <v>1</v>
      </c>
      <c r="P227">
        <v>79890</v>
      </c>
      <c r="Q227">
        <f t="shared" si="7"/>
        <v>0</v>
      </c>
      <c r="R227">
        <v>1</v>
      </c>
      <c r="S227">
        <v>10</v>
      </c>
      <c r="T227" t="b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79890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</row>
    <row r="228" spans="1:56" x14ac:dyDescent="0.3">
      <c r="A228" t="s">
        <v>96</v>
      </c>
      <c r="B228" t="s">
        <v>64</v>
      </c>
      <c r="C228">
        <v>2082</v>
      </c>
      <c r="D228">
        <v>12</v>
      </c>
      <c r="E228">
        <v>9</v>
      </c>
      <c r="F228" t="s">
        <v>61</v>
      </c>
      <c r="G228">
        <v>139855</v>
      </c>
      <c r="H228">
        <v>150</v>
      </c>
      <c r="I228">
        <v>160</v>
      </c>
      <c r="J228">
        <v>155</v>
      </c>
      <c r="K228" t="s">
        <v>97</v>
      </c>
      <c r="L228" t="s">
        <v>97</v>
      </c>
      <c r="M228" t="b">
        <v>1</v>
      </c>
      <c r="N228">
        <v>21677525</v>
      </c>
      <c r="O228" t="b">
        <f t="shared" si="6"/>
        <v>1</v>
      </c>
      <c r="P228">
        <v>139855</v>
      </c>
      <c r="Q228">
        <f t="shared" si="7"/>
        <v>0</v>
      </c>
      <c r="R228">
        <v>1</v>
      </c>
      <c r="S228">
        <v>10</v>
      </c>
      <c r="T228" t="b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139855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</row>
    <row r="229" spans="1:56" x14ac:dyDescent="0.3">
      <c r="A229" t="s">
        <v>96</v>
      </c>
      <c r="B229" t="s">
        <v>64</v>
      </c>
      <c r="C229">
        <v>2083</v>
      </c>
      <c r="D229">
        <v>1</v>
      </c>
      <c r="E229">
        <v>10</v>
      </c>
      <c r="F229" t="s">
        <v>62</v>
      </c>
      <c r="G229">
        <v>95375</v>
      </c>
      <c r="H229">
        <v>150</v>
      </c>
      <c r="I229">
        <v>160</v>
      </c>
      <c r="J229">
        <v>155</v>
      </c>
      <c r="K229" t="s">
        <v>97</v>
      </c>
      <c r="L229" t="s">
        <v>97</v>
      </c>
      <c r="M229" t="b">
        <v>1</v>
      </c>
      <c r="N229">
        <v>14783125</v>
      </c>
      <c r="O229" t="b">
        <f t="shared" si="6"/>
        <v>1</v>
      </c>
      <c r="P229">
        <v>95375</v>
      </c>
      <c r="Q229">
        <f t="shared" si="7"/>
        <v>0</v>
      </c>
      <c r="R229">
        <v>1</v>
      </c>
      <c r="S229">
        <v>10</v>
      </c>
      <c r="T229" t="b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95375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</row>
    <row r="230" spans="1:56" x14ac:dyDescent="0.3">
      <c r="A230" t="s">
        <v>98</v>
      </c>
      <c r="B230" t="s">
        <v>56</v>
      </c>
      <c r="C230">
        <v>2082</v>
      </c>
      <c r="D230">
        <v>4</v>
      </c>
      <c r="E230">
        <v>1</v>
      </c>
      <c r="F230" t="s">
        <v>70</v>
      </c>
      <c r="G230">
        <v>35724</v>
      </c>
      <c r="H230">
        <v>250</v>
      </c>
      <c r="I230">
        <v>800</v>
      </c>
      <c r="J230">
        <v>536</v>
      </c>
      <c r="K230" t="s">
        <v>58</v>
      </c>
      <c r="L230" t="s">
        <v>58</v>
      </c>
      <c r="M230" t="b">
        <v>0</v>
      </c>
      <c r="N230">
        <v>19148064</v>
      </c>
      <c r="O230" t="b">
        <f t="shared" si="6"/>
        <v>1</v>
      </c>
      <c r="P230">
        <v>35724</v>
      </c>
      <c r="Q230">
        <f t="shared" si="7"/>
        <v>0</v>
      </c>
      <c r="R230">
        <v>0</v>
      </c>
      <c r="S230">
        <v>10</v>
      </c>
      <c r="T230" t="b">
        <v>1</v>
      </c>
      <c r="U230">
        <v>0</v>
      </c>
      <c r="V230">
        <v>0</v>
      </c>
      <c r="W230">
        <v>0</v>
      </c>
      <c r="X230">
        <v>0</v>
      </c>
      <c r="Y230">
        <v>1140</v>
      </c>
      <c r="Z230">
        <v>0</v>
      </c>
      <c r="AA230">
        <v>0</v>
      </c>
      <c r="AB230">
        <v>0</v>
      </c>
      <c r="AC230">
        <v>0</v>
      </c>
      <c r="AD230">
        <v>8140</v>
      </c>
      <c r="AE230">
        <v>0</v>
      </c>
      <c r="AF230">
        <v>0</v>
      </c>
      <c r="AG230">
        <v>2344</v>
      </c>
      <c r="AH230">
        <v>0</v>
      </c>
      <c r="AI230">
        <v>0</v>
      </c>
      <c r="AJ230">
        <v>0</v>
      </c>
      <c r="AK230">
        <v>23815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285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</row>
    <row r="231" spans="1:56" x14ac:dyDescent="0.3">
      <c r="A231" t="s">
        <v>98</v>
      </c>
      <c r="B231" t="s">
        <v>56</v>
      </c>
      <c r="C231">
        <v>2082</v>
      </c>
      <c r="D231">
        <v>5</v>
      </c>
      <c r="E231">
        <v>2</v>
      </c>
      <c r="F231" t="s">
        <v>65</v>
      </c>
      <c r="G231">
        <v>27628</v>
      </c>
      <c r="H231">
        <v>100</v>
      </c>
      <c r="I231">
        <v>572</v>
      </c>
      <c r="J231">
        <v>336.11</v>
      </c>
      <c r="K231" t="s">
        <v>58</v>
      </c>
      <c r="L231" t="s">
        <v>58</v>
      </c>
      <c r="M231" t="b">
        <v>0</v>
      </c>
      <c r="N231">
        <v>9286047.0800000001</v>
      </c>
      <c r="O231" t="b">
        <f t="shared" si="6"/>
        <v>1</v>
      </c>
      <c r="P231">
        <v>27628</v>
      </c>
      <c r="Q231">
        <f t="shared" si="7"/>
        <v>0</v>
      </c>
      <c r="R231">
        <v>0</v>
      </c>
      <c r="S231">
        <v>10</v>
      </c>
      <c r="T231" t="b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8265</v>
      </c>
      <c r="AE231">
        <v>0</v>
      </c>
      <c r="AF231">
        <v>0</v>
      </c>
      <c r="AG231">
        <v>1605</v>
      </c>
      <c r="AH231">
        <v>0</v>
      </c>
      <c r="AI231">
        <v>0</v>
      </c>
      <c r="AJ231">
        <v>0</v>
      </c>
      <c r="AK231">
        <v>17708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50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</row>
    <row r="232" spans="1:56" x14ac:dyDescent="0.3">
      <c r="A232" t="s">
        <v>98</v>
      </c>
      <c r="B232" t="s">
        <v>56</v>
      </c>
      <c r="C232">
        <v>2082</v>
      </c>
      <c r="D232">
        <v>6</v>
      </c>
      <c r="E232">
        <v>3</v>
      </c>
      <c r="F232" t="s">
        <v>66</v>
      </c>
      <c r="G232">
        <v>26822</v>
      </c>
      <c r="H232">
        <v>300</v>
      </c>
      <c r="I232">
        <v>762</v>
      </c>
      <c r="J232">
        <v>531.25</v>
      </c>
      <c r="K232" t="s">
        <v>58</v>
      </c>
      <c r="L232" t="s">
        <v>58</v>
      </c>
      <c r="M232" t="b">
        <v>0</v>
      </c>
      <c r="N232">
        <v>14249187.5</v>
      </c>
      <c r="O232" t="b">
        <f t="shared" si="6"/>
        <v>1</v>
      </c>
      <c r="P232">
        <v>26822</v>
      </c>
      <c r="Q232">
        <f t="shared" si="7"/>
        <v>0</v>
      </c>
      <c r="R232">
        <v>0</v>
      </c>
      <c r="S232">
        <v>10</v>
      </c>
      <c r="T232" t="b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120</v>
      </c>
      <c r="AC232">
        <v>0</v>
      </c>
      <c r="AD232">
        <v>5490</v>
      </c>
      <c r="AE232">
        <v>0</v>
      </c>
      <c r="AF232">
        <v>0</v>
      </c>
      <c r="AG232">
        <v>1730</v>
      </c>
      <c r="AH232">
        <v>0</v>
      </c>
      <c r="AI232">
        <v>0</v>
      </c>
      <c r="AJ232">
        <v>0</v>
      </c>
      <c r="AK232">
        <v>19072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410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</row>
    <row r="233" spans="1:56" x14ac:dyDescent="0.3">
      <c r="A233" t="s">
        <v>98</v>
      </c>
      <c r="B233" t="s">
        <v>56</v>
      </c>
      <c r="C233">
        <v>2082</v>
      </c>
      <c r="D233">
        <v>7</v>
      </c>
      <c r="E233">
        <v>4</v>
      </c>
      <c r="F233" t="s">
        <v>67</v>
      </c>
      <c r="G233">
        <v>41150</v>
      </c>
      <c r="H233">
        <v>200</v>
      </c>
      <c r="I233">
        <v>600</v>
      </c>
      <c r="J233">
        <v>403.95</v>
      </c>
      <c r="K233" t="s">
        <v>58</v>
      </c>
      <c r="L233" t="s">
        <v>58</v>
      </c>
      <c r="M233" t="b">
        <v>0</v>
      </c>
      <c r="N233">
        <v>16622542.5</v>
      </c>
      <c r="O233" t="b">
        <f t="shared" si="6"/>
        <v>1</v>
      </c>
      <c r="P233">
        <v>41150</v>
      </c>
      <c r="Q233">
        <f t="shared" si="7"/>
        <v>0</v>
      </c>
      <c r="R233">
        <v>0</v>
      </c>
      <c r="S233">
        <v>10</v>
      </c>
      <c r="T233" t="b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240</v>
      </c>
      <c r="AC233">
        <v>0</v>
      </c>
      <c r="AD233">
        <v>10155</v>
      </c>
      <c r="AE233">
        <v>0</v>
      </c>
      <c r="AF233">
        <v>0</v>
      </c>
      <c r="AG233">
        <v>2435</v>
      </c>
      <c r="AH233">
        <v>0</v>
      </c>
      <c r="AI233">
        <v>0</v>
      </c>
      <c r="AJ233">
        <v>0</v>
      </c>
      <c r="AK233">
        <v>28110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210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</row>
    <row r="234" spans="1:56" x14ac:dyDescent="0.3">
      <c r="A234" t="s">
        <v>98</v>
      </c>
      <c r="B234" t="s">
        <v>56</v>
      </c>
      <c r="C234">
        <v>2082</v>
      </c>
      <c r="D234">
        <v>8</v>
      </c>
      <c r="E234">
        <v>5</v>
      </c>
      <c r="F234" t="s">
        <v>68</v>
      </c>
      <c r="G234">
        <v>39370</v>
      </c>
      <c r="H234">
        <v>100</v>
      </c>
      <c r="I234">
        <v>580</v>
      </c>
      <c r="J234">
        <v>348.68</v>
      </c>
      <c r="K234" t="s">
        <v>58</v>
      </c>
      <c r="L234" t="s">
        <v>58</v>
      </c>
      <c r="M234" t="b">
        <v>0</v>
      </c>
      <c r="N234">
        <v>13727531.6</v>
      </c>
      <c r="O234" t="b">
        <f t="shared" si="6"/>
        <v>1</v>
      </c>
      <c r="P234">
        <v>39370</v>
      </c>
      <c r="Q234">
        <f t="shared" si="7"/>
        <v>0</v>
      </c>
      <c r="R234">
        <v>0</v>
      </c>
      <c r="S234">
        <v>10</v>
      </c>
      <c r="T234" t="b">
        <v>1</v>
      </c>
      <c r="U234">
        <v>0</v>
      </c>
      <c r="V234">
        <v>0</v>
      </c>
      <c r="W234">
        <v>0</v>
      </c>
      <c r="X234">
        <v>0</v>
      </c>
      <c r="Y234">
        <v>1860</v>
      </c>
      <c r="Z234">
        <v>0</v>
      </c>
      <c r="AA234">
        <v>0</v>
      </c>
      <c r="AB234">
        <v>0</v>
      </c>
      <c r="AC234">
        <v>0</v>
      </c>
      <c r="AD234">
        <v>3700</v>
      </c>
      <c r="AE234">
        <v>0</v>
      </c>
      <c r="AF234">
        <v>0</v>
      </c>
      <c r="AG234">
        <v>3210</v>
      </c>
      <c r="AH234">
        <v>0</v>
      </c>
      <c r="AI234">
        <v>0</v>
      </c>
      <c r="AJ234">
        <v>0</v>
      </c>
      <c r="AK234">
        <v>29520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930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150</v>
      </c>
    </row>
    <row r="235" spans="1:56" x14ac:dyDescent="0.3">
      <c r="A235" t="s">
        <v>98</v>
      </c>
      <c r="B235" t="s">
        <v>56</v>
      </c>
      <c r="C235">
        <v>2082</v>
      </c>
      <c r="D235">
        <v>9</v>
      </c>
      <c r="E235">
        <v>6</v>
      </c>
      <c r="F235" t="s">
        <v>57</v>
      </c>
      <c r="G235">
        <v>46078</v>
      </c>
      <c r="H235">
        <v>100</v>
      </c>
      <c r="I235">
        <v>200</v>
      </c>
      <c r="J235">
        <v>135.22999999999999</v>
      </c>
      <c r="K235" t="s">
        <v>58</v>
      </c>
      <c r="L235" t="s">
        <v>58</v>
      </c>
      <c r="M235" t="b">
        <v>0</v>
      </c>
      <c r="N235">
        <v>6231127.9399999902</v>
      </c>
      <c r="O235" t="b">
        <f t="shared" si="6"/>
        <v>1</v>
      </c>
      <c r="P235">
        <v>46078</v>
      </c>
      <c r="Q235">
        <f t="shared" si="7"/>
        <v>0</v>
      </c>
      <c r="R235">
        <v>0</v>
      </c>
      <c r="S235">
        <v>10</v>
      </c>
      <c r="T235" t="b">
        <v>1</v>
      </c>
      <c r="U235">
        <v>0</v>
      </c>
      <c r="V235">
        <v>0</v>
      </c>
      <c r="W235">
        <v>0</v>
      </c>
      <c r="X235">
        <v>0</v>
      </c>
      <c r="Y235">
        <v>6510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1305</v>
      </c>
      <c r="AH235">
        <v>0</v>
      </c>
      <c r="AI235">
        <v>0</v>
      </c>
      <c r="AJ235">
        <v>0</v>
      </c>
      <c r="AK235">
        <v>38013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250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</row>
    <row r="236" spans="1:56" x14ac:dyDescent="0.3">
      <c r="A236" t="s">
        <v>98</v>
      </c>
      <c r="B236" t="s">
        <v>56</v>
      </c>
      <c r="C236">
        <v>2082</v>
      </c>
      <c r="D236">
        <v>10</v>
      </c>
      <c r="E236">
        <v>7</v>
      </c>
      <c r="F236" t="s">
        <v>59</v>
      </c>
      <c r="G236">
        <v>32317</v>
      </c>
      <c r="H236">
        <v>20</v>
      </c>
      <c r="I236">
        <v>150</v>
      </c>
      <c r="J236">
        <v>59.29</v>
      </c>
      <c r="K236" t="s">
        <v>58</v>
      </c>
      <c r="L236" t="s">
        <v>58</v>
      </c>
      <c r="M236" t="b">
        <v>0</v>
      </c>
      <c r="N236">
        <v>1916074.93</v>
      </c>
      <c r="O236" t="b">
        <f t="shared" si="6"/>
        <v>1</v>
      </c>
      <c r="P236">
        <v>32317</v>
      </c>
      <c r="Q236">
        <f t="shared" si="7"/>
        <v>0</v>
      </c>
      <c r="R236">
        <v>0</v>
      </c>
      <c r="S236">
        <v>10</v>
      </c>
      <c r="T236" t="b">
        <v>1</v>
      </c>
      <c r="U236">
        <v>0</v>
      </c>
      <c r="V236">
        <v>0</v>
      </c>
      <c r="W236">
        <v>0</v>
      </c>
      <c r="X236">
        <v>0</v>
      </c>
      <c r="Y236">
        <v>3982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1500</v>
      </c>
      <c r="AH236">
        <v>0</v>
      </c>
      <c r="AI236">
        <v>0</v>
      </c>
      <c r="AJ236">
        <v>0</v>
      </c>
      <c r="AK236">
        <v>26295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540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</row>
    <row r="237" spans="1:56" x14ac:dyDescent="0.3">
      <c r="A237" t="s">
        <v>98</v>
      </c>
      <c r="B237" t="s">
        <v>56</v>
      </c>
      <c r="C237">
        <v>2082</v>
      </c>
      <c r="D237">
        <v>11</v>
      </c>
      <c r="E237">
        <v>8</v>
      </c>
      <c r="F237" t="s">
        <v>60</v>
      </c>
      <c r="G237">
        <v>27410</v>
      </c>
      <c r="H237">
        <v>20</v>
      </c>
      <c r="I237">
        <v>60</v>
      </c>
      <c r="J237">
        <v>35.56</v>
      </c>
      <c r="K237" t="s">
        <v>58</v>
      </c>
      <c r="L237" t="s">
        <v>58</v>
      </c>
      <c r="M237" t="b">
        <v>0</v>
      </c>
      <c r="N237">
        <v>974699.6</v>
      </c>
      <c r="O237" t="b">
        <f t="shared" si="6"/>
        <v>1</v>
      </c>
      <c r="P237">
        <v>27410</v>
      </c>
      <c r="Q237">
        <f t="shared" si="7"/>
        <v>0</v>
      </c>
      <c r="R237">
        <v>0</v>
      </c>
      <c r="S237">
        <v>10</v>
      </c>
      <c r="T237" t="b">
        <v>1</v>
      </c>
      <c r="U237">
        <v>0</v>
      </c>
      <c r="V237">
        <v>0</v>
      </c>
      <c r="W237">
        <v>0</v>
      </c>
      <c r="X237">
        <v>0</v>
      </c>
      <c r="Y237">
        <v>1500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520</v>
      </c>
      <c r="AH237">
        <v>0</v>
      </c>
      <c r="AI237">
        <v>0</v>
      </c>
      <c r="AJ237">
        <v>0</v>
      </c>
      <c r="AK237">
        <v>24850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540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</row>
    <row r="238" spans="1:56" x14ac:dyDescent="0.3">
      <c r="A238" t="s">
        <v>98</v>
      </c>
      <c r="B238" t="s">
        <v>56</v>
      </c>
      <c r="C238">
        <v>2082</v>
      </c>
      <c r="D238">
        <v>12</v>
      </c>
      <c r="E238">
        <v>9</v>
      </c>
      <c r="F238" t="s">
        <v>61</v>
      </c>
      <c r="G238">
        <v>41235</v>
      </c>
      <c r="H238">
        <v>30</v>
      </c>
      <c r="I238">
        <v>250</v>
      </c>
      <c r="J238">
        <v>102.05</v>
      </c>
      <c r="K238" t="s">
        <v>58</v>
      </c>
      <c r="L238" t="s">
        <v>58</v>
      </c>
      <c r="M238" t="b">
        <v>0</v>
      </c>
      <c r="N238">
        <v>4208031.75</v>
      </c>
      <c r="O238" t="b">
        <f t="shared" si="6"/>
        <v>1</v>
      </c>
      <c r="P238">
        <v>41235</v>
      </c>
      <c r="Q238">
        <f t="shared" si="7"/>
        <v>0</v>
      </c>
      <c r="R238">
        <v>0</v>
      </c>
      <c r="S238">
        <v>10</v>
      </c>
      <c r="T238" t="b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2505</v>
      </c>
      <c r="AE238">
        <v>0</v>
      </c>
      <c r="AF238">
        <v>0</v>
      </c>
      <c r="AG238">
        <v>1590</v>
      </c>
      <c r="AH238">
        <v>0</v>
      </c>
      <c r="AI238">
        <v>0</v>
      </c>
      <c r="AJ238">
        <v>0</v>
      </c>
      <c r="AK238">
        <v>37140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</row>
    <row r="239" spans="1:56" x14ac:dyDescent="0.3">
      <c r="A239" t="s">
        <v>98</v>
      </c>
      <c r="B239" t="s">
        <v>56</v>
      </c>
      <c r="C239">
        <v>2083</v>
      </c>
      <c r="D239">
        <v>1</v>
      </c>
      <c r="E239">
        <v>10</v>
      </c>
      <c r="F239" t="s">
        <v>62</v>
      </c>
      <c r="G239">
        <v>36415</v>
      </c>
      <c r="H239">
        <v>50</v>
      </c>
      <c r="I239">
        <v>250</v>
      </c>
      <c r="J239">
        <v>128.26</v>
      </c>
      <c r="K239" t="s">
        <v>58</v>
      </c>
      <c r="L239" t="s">
        <v>58</v>
      </c>
      <c r="M239" t="b">
        <v>0</v>
      </c>
      <c r="N239">
        <v>4670587.8999999901</v>
      </c>
      <c r="O239" t="b">
        <f t="shared" si="6"/>
        <v>1</v>
      </c>
      <c r="P239">
        <v>36415</v>
      </c>
      <c r="Q239">
        <f t="shared" si="7"/>
        <v>0</v>
      </c>
      <c r="R239">
        <v>0</v>
      </c>
      <c r="S239">
        <v>10</v>
      </c>
      <c r="T239" t="b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9835</v>
      </c>
      <c r="AE239">
        <v>0</v>
      </c>
      <c r="AF239">
        <v>0</v>
      </c>
      <c r="AG239">
        <v>1205</v>
      </c>
      <c r="AH239">
        <v>0</v>
      </c>
      <c r="AI239">
        <v>0</v>
      </c>
      <c r="AJ239">
        <v>0</v>
      </c>
      <c r="AK239">
        <v>25290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85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</row>
    <row r="240" spans="1:56" x14ac:dyDescent="0.3">
      <c r="A240" t="s">
        <v>99</v>
      </c>
      <c r="B240" t="s">
        <v>56</v>
      </c>
      <c r="C240">
        <v>2082</v>
      </c>
      <c r="D240">
        <v>4</v>
      </c>
      <c r="E240">
        <v>1</v>
      </c>
      <c r="F240" t="s">
        <v>70</v>
      </c>
      <c r="G240">
        <v>285960</v>
      </c>
      <c r="H240">
        <v>40</v>
      </c>
      <c r="I240">
        <v>180</v>
      </c>
      <c r="J240">
        <v>78</v>
      </c>
      <c r="K240" t="s">
        <v>58</v>
      </c>
      <c r="L240" t="s">
        <v>58</v>
      </c>
      <c r="M240" t="b">
        <v>0</v>
      </c>
      <c r="N240">
        <v>22304880</v>
      </c>
      <c r="O240" t="b">
        <f t="shared" si="6"/>
        <v>1</v>
      </c>
      <c r="P240">
        <v>285960</v>
      </c>
      <c r="Q240">
        <f t="shared" si="7"/>
        <v>0</v>
      </c>
      <c r="R240">
        <v>0</v>
      </c>
      <c r="S240">
        <v>10</v>
      </c>
      <c r="T240" t="b">
        <v>1</v>
      </c>
      <c r="U240">
        <v>0</v>
      </c>
      <c r="V240">
        <v>0</v>
      </c>
      <c r="W240">
        <v>0</v>
      </c>
      <c r="X240">
        <v>0</v>
      </c>
      <c r="Y240">
        <v>5205</v>
      </c>
      <c r="Z240">
        <v>0</v>
      </c>
      <c r="AA240">
        <v>0</v>
      </c>
      <c r="AB240">
        <v>82340</v>
      </c>
      <c r="AC240">
        <v>3150</v>
      </c>
      <c r="AD240">
        <v>27500</v>
      </c>
      <c r="AE240">
        <v>0</v>
      </c>
      <c r="AF240">
        <v>0</v>
      </c>
      <c r="AG240">
        <v>18489</v>
      </c>
      <c r="AH240">
        <v>0</v>
      </c>
      <c r="AI240">
        <v>0</v>
      </c>
      <c r="AJ240">
        <v>0</v>
      </c>
      <c r="AK240">
        <v>60138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79513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4920</v>
      </c>
      <c r="BA240">
        <v>0</v>
      </c>
      <c r="BB240">
        <v>0</v>
      </c>
      <c r="BC240">
        <v>0</v>
      </c>
      <c r="BD240">
        <v>4705</v>
      </c>
    </row>
    <row r="241" spans="1:56" x14ac:dyDescent="0.3">
      <c r="A241" t="s">
        <v>99</v>
      </c>
      <c r="B241" t="s">
        <v>56</v>
      </c>
      <c r="C241">
        <v>2082</v>
      </c>
      <c r="D241">
        <v>5</v>
      </c>
      <c r="E241">
        <v>2</v>
      </c>
      <c r="F241" t="s">
        <v>65</v>
      </c>
      <c r="G241">
        <v>202173</v>
      </c>
      <c r="H241">
        <v>30</v>
      </c>
      <c r="I241">
        <v>180</v>
      </c>
      <c r="J241">
        <v>68.47</v>
      </c>
      <c r="K241" t="s">
        <v>58</v>
      </c>
      <c r="L241" t="s">
        <v>58</v>
      </c>
      <c r="M241" t="b">
        <v>0</v>
      </c>
      <c r="N241">
        <v>13842785.310000001</v>
      </c>
      <c r="O241" t="b">
        <f t="shared" si="6"/>
        <v>1</v>
      </c>
      <c r="P241">
        <v>202173</v>
      </c>
      <c r="Q241">
        <f t="shared" si="7"/>
        <v>0</v>
      </c>
      <c r="R241">
        <v>5.3864759389235899E-2</v>
      </c>
      <c r="S241">
        <v>10</v>
      </c>
      <c r="T241" t="b">
        <v>1</v>
      </c>
      <c r="U241">
        <v>0</v>
      </c>
      <c r="V241">
        <v>0</v>
      </c>
      <c r="W241">
        <v>0</v>
      </c>
      <c r="X241">
        <v>0</v>
      </c>
      <c r="Y241">
        <v>9730</v>
      </c>
      <c r="Z241">
        <v>0</v>
      </c>
      <c r="AA241">
        <v>0</v>
      </c>
      <c r="AB241">
        <v>45985</v>
      </c>
      <c r="AC241">
        <v>970</v>
      </c>
      <c r="AD241">
        <v>18130</v>
      </c>
      <c r="AE241">
        <v>10890</v>
      </c>
      <c r="AF241">
        <v>0</v>
      </c>
      <c r="AG241">
        <v>14150</v>
      </c>
      <c r="AH241">
        <v>0</v>
      </c>
      <c r="AI241">
        <v>0</v>
      </c>
      <c r="AJ241">
        <v>0</v>
      </c>
      <c r="AK241">
        <v>40768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44695</v>
      </c>
      <c r="AR241">
        <v>0</v>
      </c>
      <c r="AS241">
        <v>5680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4440</v>
      </c>
      <c r="BA241">
        <v>0</v>
      </c>
      <c r="BB241">
        <v>0</v>
      </c>
      <c r="BC241">
        <v>0</v>
      </c>
      <c r="BD241">
        <v>6735</v>
      </c>
    </row>
    <row r="242" spans="1:56" x14ac:dyDescent="0.3">
      <c r="A242" t="s">
        <v>99</v>
      </c>
      <c r="B242" t="s">
        <v>56</v>
      </c>
      <c r="C242">
        <v>2082</v>
      </c>
      <c r="D242">
        <v>6</v>
      </c>
      <c r="E242">
        <v>3</v>
      </c>
      <c r="F242" t="s">
        <v>66</v>
      </c>
      <c r="G242">
        <v>155168</v>
      </c>
      <c r="H242">
        <v>130</v>
      </c>
      <c r="I242">
        <v>220</v>
      </c>
      <c r="J242">
        <v>165.31</v>
      </c>
      <c r="K242" t="s">
        <v>58</v>
      </c>
      <c r="L242" t="s">
        <v>58</v>
      </c>
      <c r="M242" t="b">
        <v>0</v>
      </c>
      <c r="N242">
        <v>25650822.079999998</v>
      </c>
      <c r="O242" t="b">
        <f t="shared" si="6"/>
        <v>1</v>
      </c>
      <c r="P242">
        <v>155168</v>
      </c>
      <c r="Q242">
        <f t="shared" si="7"/>
        <v>0</v>
      </c>
      <c r="R242">
        <v>3.5252113837904699E-2</v>
      </c>
      <c r="S242">
        <v>10</v>
      </c>
      <c r="T242" t="b">
        <v>1</v>
      </c>
      <c r="U242">
        <v>0</v>
      </c>
      <c r="V242">
        <v>0</v>
      </c>
      <c r="W242">
        <v>0</v>
      </c>
      <c r="X242">
        <v>0</v>
      </c>
      <c r="Y242">
        <v>11070</v>
      </c>
      <c r="Z242">
        <v>0</v>
      </c>
      <c r="AA242">
        <v>0</v>
      </c>
      <c r="AB242">
        <v>46515</v>
      </c>
      <c r="AC242">
        <v>4050</v>
      </c>
      <c r="AD242">
        <v>8700</v>
      </c>
      <c r="AE242">
        <v>5470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31135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36228</v>
      </c>
      <c r="AR242">
        <v>0</v>
      </c>
      <c r="AS242">
        <v>2830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9170</v>
      </c>
    </row>
    <row r="243" spans="1:56" x14ac:dyDescent="0.3">
      <c r="A243" t="s">
        <v>99</v>
      </c>
      <c r="B243" t="s">
        <v>56</v>
      </c>
      <c r="C243">
        <v>2082</v>
      </c>
      <c r="D243">
        <v>7</v>
      </c>
      <c r="E243">
        <v>4</v>
      </c>
      <c r="F243" t="s">
        <v>67</v>
      </c>
      <c r="G243">
        <v>166037</v>
      </c>
      <c r="H243">
        <v>80</v>
      </c>
      <c r="I243">
        <v>200</v>
      </c>
      <c r="J243">
        <v>128.94999999999999</v>
      </c>
      <c r="K243" t="s">
        <v>58</v>
      </c>
      <c r="L243" t="s">
        <v>58</v>
      </c>
      <c r="M243" t="b">
        <v>0</v>
      </c>
      <c r="N243">
        <v>21410471.149999999</v>
      </c>
      <c r="O243" t="b">
        <f t="shared" si="6"/>
        <v>1</v>
      </c>
      <c r="P243">
        <v>166037</v>
      </c>
      <c r="Q243">
        <f t="shared" si="7"/>
        <v>0</v>
      </c>
      <c r="R243">
        <v>7.2995778049470897E-2</v>
      </c>
      <c r="S243">
        <v>10</v>
      </c>
      <c r="T243" t="b">
        <v>1</v>
      </c>
      <c r="U243">
        <v>0</v>
      </c>
      <c r="V243">
        <v>0</v>
      </c>
      <c r="W243">
        <v>0</v>
      </c>
      <c r="X243">
        <v>0</v>
      </c>
      <c r="Y243">
        <v>15900</v>
      </c>
      <c r="Z243">
        <v>0</v>
      </c>
      <c r="AA243">
        <v>0</v>
      </c>
      <c r="AB243">
        <v>48583</v>
      </c>
      <c r="AC243">
        <v>5050</v>
      </c>
      <c r="AD243">
        <v>1140</v>
      </c>
      <c r="AE243">
        <v>12120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30319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37175</v>
      </c>
      <c r="AR243">
        <v>0</v>
      </c>
      <c r="AS243">
        <v>5960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1140</v>
      </c>
      <c r="BA243">
        <v>0</v>
      </c>
      <c r="BB243">
        <v>0</v>
      </c>
      <c r="BC243">
        <v>0</v>
      </c>
      <c r="BD243">
        <v>8650</v>
      </c>
    </row>
    <row r="244" spans="1:56" x14ac:dyDescent="0.3">
      <c r="A244" t="s">
        <v>99</v>
      </c>
      <c r="B244" t="s">
        <v>56</v>
      </c>
      <c r="C244">
        <v>2082</v>
      </c>
      <c r="D244">
        <v>8</v>
      </c>
      <c r="E244">
        <v>5</v>
      </c>
      <c r="F244" t="s">
        <v>68</v>
      </c>
      <c r="G244">
        <v>177430</v>
      </c>
      <c r="H244">
        <v>90</v>
      </c>
      <c r="I244">
        <v>230</v>
      </c>
      <c r="J244">
        <v>138.94999999999999</v>
      </c>
      <c r="K244" t="s">
        <v>58</v>
      </c>
      <c r="L244" t="s">
        <v>58</v>
      </c>
      <c r="M244" t="b">
        <v>0</v>
      </c>
      <c r="N244">
        <v>24653898.499999899</v>
      </c>
      <c r="O244" t="b">
        <f t="shared" si="6"/>
        <v>1</v>
      </c>
      <c r="P244">
        <v>177430</v>
      </c>
      <c r="Q244">
        <f t="shared" si="7"/>
        <v>0</v>
      </c>
      <c r="R244">
        <v>0.182776306148903</v>
      </c>
      <c r="S244">
        <v>10</v>
      </c>
      <c r="T244" t="b">
        <v>1</v>
      </c>
      <c r="U244">
        <v>0</v>
      </c>
      <c r="V244">
        <v>0</v>
      </c>
      <c r="W244">
        <v>0</v>
      </c>
      <c r="X244">
        <v>0</v>
      </c>
      <c r="Y244">
        <v>12855</v>
      </c>
      <c r="Z244">
        <v>0</v>
      </c>
      <c r="AA244">
        <v>0</v>
      </c>
      <c r="AB244">
        <v>33430</v>
      </c>
      <c r="AC244">
        <v>1890</v>
      </c>
      <c r="AD244">
        <v>1380</v>
      </c>
      <c r="AE244">
        <v>32430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27620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29110</v>
      </c>
      <c r="AR244">
        <v>0</v>
      </c>
      <c r="AS244">
        <v>540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35995</v>
      </c>
      <c r="BA244">
        <v>0</v>
      </c>
      <c r="BB244">
        <v>0</v>
      </c>
      <c r="BC244">
        <v>0</v>
      </c>
      <c r="BD244">
        <v>2180</v>
      </c>
    </row>
    <row r="245" spans="1:56" x14ac:dyDescent="0.3">
      <c r="A245" t="s">
        <v>99</v>
      </c>
      <c r="B245" t="s">
        <v>56</v>
      </c>
      <c r="C245">
        <v>2082</v>
      </c>
      <c r="D245">
        <v>9</v>
      </c>
      <c r="E245">
        <v>6</v>
      </c>
      <c r="F245" t="s">
        <v>57</v>
      </c>
      <c r="G245">
        <v>104840</v>
      </c>
      <c r="H245">
        <v>80</v>
      </c>
      <c r="I245">
        <v>150</v>
      </c>
      <c r="J245">
        <v>115</v>
      </c>
      <c r="K245" t="s">
        <v>58</v>
      </c>
      <c r="L245" t="s">
        <v>58</v>
      </c>
      <c r="M245" t="b">
        <v>0</v>
      </c>
      <c r="N245">
        <v>12056600</v>
      </c>
      <c r="O245" t="b">
        <f t="shared" si="6"/>
        <v>1</v>
      </c>
      <c r="P245">
        <v>104840</v>
      </c>
      <c r="Q245">
        <f t="shared" si="7"/>
        <v>0</v>
      </c>
      <c r="R245">
        <v>0.17927317817626801</v>
      </c>
      <c r="S245">
        <v>10</v>
      </c>
      <c r="T245" t="b">
        <v>1</v>
      </c>
      <c r="U245">
        <v>0</v>
      </c>
      <c r="V245">
        <v>0</v>
      </c>
      <c r="W245">
        <v>0</v>
      </c>
      <c r="X245">
        <v>0</v>
      </c>
      <c r="Y245">
        <v>2460</v>
      </c>
      <c r="Z245">
        <v>0</v>
      </c>
      <c r="AA245">
        <v>0</v>
      </c>
      <c r="AB245">
        <v>13100</v>
      </c>
      <c r="AC245">
        <v>0</v>
      </c>
      <c r="AD245">
        <v>0</v>
      </c>
      <c r="AE245">
        <v>18795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11335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21540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37400</v>
      </c>
      <c r="BA245">
        <v>0</v>
      </c>
      <c r="BB245">
        <v>0</v>
      </c>
      <c r="BC245">
        <v>0</v>
      </c>
      <c r="BD245">
        <v>210</v>
      </c>
    </row>
    <row r="246" spans="1:56" x14ac:dyDescent="0.3">
      <c r="A246" t="s">
        <v>99</v>
      </c>
      <c r="B246" t="s">
        <v>56</v>
      </c>
      <c r="C246">
        <v>2082</v>
      </c>
      <c r="D246">
        <v>10</v>
      </c>
      <c r="E246">
        <v>7</v>
      </c>
      <c r="F246" t="s">
        <v>59</v>
      </c>
      <c r="G246">
        <v>27330</v>
      </c>
      <c r="H246">
        <v>80</v>
      </c>
      <c r="I246">
        <v>150</v>
      </c>
      <c r="J246">
        <v>128.63999999999999</v>
      </c>
      <c r="K246" t="s">
        <v>58</v>
      </c>
      <c r="L246" t="s">
        <v>58</v>
      </c>
      <c r="M246" t="b">
        <v>0</v>
      </c>
      <c r="N246">
        <v>3515731.1999999899</v>
      </c>
      <c r="O246" t="b">
        <f t="shared" si="6"/>
        <v>1</v>
      </c>
      <c r="P246">
        <v>27330</v>
      </c>
      <c r="Q246">
        <f t="shared" si="7"/>
        <v>0</v>
      </c>
      <c r="R246">
        <v>0.44273691913648</v>
      </c>
      <c r="S246">
        <v>10</v>
      </c>
      <c r="T246" t="b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12100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2660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5580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6990</v>
      </c>
      <c r="BA246">
        <v>0</v>
      </c>
      <c r="BB246">
        <v>0</v>
      </c>
      <c r="BC246">
        <v>0</v>
      </c>
      <c r="BD246">
        <v>0</v>
      </c>
    </row>
    <row r="247" spans="1:56" x14ac:dyDescent="0.3">
      <c r="A247" t="s">
        <v>99</v>
      </c>
      <c r="B247" t="s">
        <v>56</v>
      </c>
      <c r="C247">
        <v>2082</v>
      </c>
      <c r="D247">
        <v>11</v>
      </c>
      <c r="E247">
        <v>8</v>
      </c>
      <c r="F247" t="s">
        <v>60</v>
      </c>
      <c r="G247">
        <v>7495</v>
      </c>
      <c r="H247">
        <v>130</v>
      </c>
      <c r="I247">
        <v>150</v>
      </c>
      <c r="J247">
        <v>140</v>
      </c>
      <c r="K247" t="s">
        <v>58</v>
      </c>
      <c r="L247" t="s">
        <v>58</v>
      </c>
      <c r="M247" t="b">
        <v>0</v>
      </c>
      <c r="N247">
        <v>1049300</v>
      </c>
      <c r="O247" t="b">
        <f t="shared" si="6"/>
        <v>1</v>
      </c>
      <c r="P247">
        <v>7495</v>
      </c>
      <c r="Q247">
        <f t="shared" si="7"/>
        <v>0</v>
      </c>
      <c r="R247">
        <v>0.60106737825216805</v>
      </c>
      <c r="S247">
        <v>10</v>
      </c>
      <c r="T247" t="b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4505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2450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540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</row>
    <row r="248" spans="1:56" x14ac:dyDescent="0.3">
      <c r="A248" t="s">
        <v>99</v>
      </c>
      <c r="B248" t="s">
        <v>56</v>
      </c>
      <c r="C248">
        <v>2082</v>
      </c>
      <c r="D248">
        <v>12</v>
      </c>
      <c r="E248">
        <v>9</v>
      </c>
      <c r="F248" t="s">
        <v>61</v>
      </c>
      <c r="G248">
        <v>134272</v>
      </c>
      <c r="H248">
        <v>130</v>
      </c>
      <c r="I248">
        <v>200</v>
      </c>
      <c r="J248">
        <v>166.67</v>
      </c>
      <c r="K248" t="s">
        <v>58</v>
      </c>
      <c r="L248" t="s">
        <v>58</v>
      </c>
      <c r="M248" t="b">
        <v>0</v>
      </c>
      <c r="N248">
        <v>22379114.239999998</v>
      </c>
      <c r="O248" t="b">
        <f t="shared" si="6"/>
        <v>1</v>
      </c>
      <c r="P248">
        <v>134272</v>
      </c>
      <c r="Q248">
        <f t="shared" si="7"/>
        <v>0</v>
      </c>
      <c r="R248">
        <v>0.372020972354623</v>
      </c>
      <c r="S248">
        <v>10</v>
      </c>
      <c r="T248" t="b">
        <v>1</v>
      </c>
      <c r="U248">
        <v>0</v>
      </c>
      <c r="V248">
        <v>0</v>
      </c>
      <c r="W248">
        <v>0</v>
      </c>
      <c r="X248">
        <v>0</v>
      </c>
      <c r="Y248">
        <v>28130</v>
      </c>
      <c r="Z248">
        <v>0</v>
      </c>
      <c r="AA248">
        <v>0</v>
      </c>
      <c r="AB248">
        <v>7350</v>
      </c>
      <c r="AC248">
        <v>0</v>
      </c>
      <c r="AD248">
        <v>0</v>
      </c>
      <c r="AE248">
        <v>49952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48840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</row>
    <row r="249" spans="1:56" x14ac:dyDescent="0.3">
      <c r="A249" t="s">
        <v>99</v>
      </c>
      <c r="B249" t="s">
        <v>56</v>
      </c>
      <c r="C249">
        <v>2083</v>
      </c>
      <c r="D249">
        <v>1</v>
      </c>
      <c r="E249">
        <v>10</v>
      </c>
      <c r="F249" t="s">
        <v>62</v>
      </c>
      <c r="G249">
        <v>165310</v>
      </c>
      <c r="H249">
        <v>60</v>
      </c>
      <c r="I249">
        <v>160</v>
      </c>
      <c r="J249">
        <v>91.3</v>
      </c>
      <c r="K249" t="s">
        <v>58</v>
      </c>
      <c r="L249" t="s">
        <v>58</v>
      </c>
      <c r="M249" t="b">
        <v>0</v>
      </c>
      <c r="N249">
        <v>15092803</v>
      </c>
      <c r="O249" t="b">
        <f t="shared" si="6"/>
        <v>1</v>
      </c>
      <c r="P249">
        <v>165310</v>
      </c>
      <c r="Q249">
        <f t="shared" si="7"/>
        <v>0</v>
      </c>
      <c r="R249">
        <v>0.247897888814953</v>
      </c>
      <c r="S249">
        <v>10</v>
      </c>
      <c r="T249" t="b">
        <v>1</v>
      </c>
      <c r="U249">
        <v>0</v>
      </c>
      <c r="V249">
        <v>0</v>
      </c>
      <c r="W249">
        <v>0</v>
      </c>
      <c r="X249">
        <v>0</v>
      </c>
      <c r="Y249">
        <v>29190</v>
      </c>
      <c r="Z249">
        <v>0</v>
      </c>
      <c r="AA249">
        <v>0</v>
      </c>
      <c r="AB249">
        <v>31655</v>
      </c>
      <c r="AC249">
        <v>630</v>
      </c>
      <c r="AD249">
        <v>0</v>
      </c>
      <c r="AE249">
        <v>40980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2905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56260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3690</v>
      </c>
      <c r="BA249">
        <v>0</v>
      </c>
      <c r="BB249">
        <v>0</v>
      </c>
      <c r="BC249">
        <v>0</v>
      </c>
      <c r="BD249">
        <v>0</v>
      </c>
    </row>
    <row r="250" spans="1:56" x14ac:dyDescent="0.3">
      <c r="A250" t="s">
        <v>100</v>
      </c>
      <c r="B250" t="s">
        <v>56</v>
      </c>
      <c r="C250">
        <v>2082</v>
      </c>
      <c r="D250">
        <v>4</v>
      </c>
      <c r="E250">
        <v>1</v>
      </c>
      <c r="F250" t="s">
        <v>70</v>
      </c>
      <c r="G250">
        <v>0</v>
      </c>
      <c r="H250">
        <v>60</v>
      </c>
      <c r="I250">
        <v>100</v>
      </c>
      <c r="J250">
        <v>71.94</v>
      </c>
      <c r="K250" t="s">
        <v>86</v>
      </c>
      <c r="L250" t="s">
        <v>86</v>
      </c>
      <c r="M250" t="b">
        <v>0</v>
      </c>
      <c r="N250">
        <v>0</v>
      </c>
      <c r="O250" t="b">
        <f t="shared" si="6"/>
        <v>1</v>
      </c>
      <c r="P250">
        <v>0</v>
      </c>
      <c r="Q250">
        <f t="shared" si="7"/>
        <v>0</v>
      </c>
      <c r="S250">
        <v>9</v>
      </c>
      <c r="T250" t="b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</row>
    <row r="251" spans="1:56" x14ac:dyDescent="0.3">
      <c r="A251" t="s">
        <v>100</v>
      </c>
      <c r="B251" t="s">
        <v>56</v>
      </c>
      <c r="C251">
        <v>2082</v>
      </c>
      <c r="D251">
        <v>6</v>
      </c>
      <c r="E251">
        <v>3</v>
      </c>
      <c r="F251" t="s">
        <v>66</v>
      </c>
      <c r="G251">
        <v>990</v>
      </c>
      <c r="H251">
        <v>0</v>
      </c>
      <c r="I251">
        <v>0</v>
      </c>
      <c r="J251">
        <v>173.75</v>
      </c>
      <c r="K251" t="s">
        <v>86</v>
      </c>
      <c r="L251" t="s">
        <v>86</v>
      </c>
      <c r="M251" t="b">
        <v>0</v>
      </c>
      <c r="N251">
        <v>172012.5</v>
      </c>
      <c r="O251" t="b">
        <f t="shared" si="6"/>
        <v>1</v>
      </c>
      <c r="P251">
        <v>990</v>
      </c>
      <c r="Q251">
        <f t="shared" si="7"/>
        <v>0</v>
      </c>
      <c r="R251">
        <v>0</v>
      </c>
      <c r="S251">
        <v>9</v>
      </c>
      <c r="T251" t="b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990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</row>
    <row r="252" spans="1:56" x14ac:dyDescent="0.3">
      <c r="A252" t="s">
        <v>100</v>
      </c>
      <c r="B252" t="s">
        <v>56</v>
      </c>
      <c r="C252">
        <v>2082</v>
      </c>
      <c r="D252">
        <v>7</v>
      </c>
      <c r="E252">
        <v>4</v>
      </c>
      <c r="F252" t="s">
        <v>67</v>
      </c>
      <c r="G252">
        <v>3990</v>
      </c>
      <c r="H252">
        <v>80</v>
      </c>
      <c r="I252">
        <v>200</v>
      </c>
      <c r="J252">
        <v>128.94999999999999</v>
      </c>
      <c r="K252" t="s">
        <v>86</v>
      </c>
      <c r="L252" t="s">
        <v>86</v>
      </c>
      <c r="M252" t="b">
        <v>0</v>
      </c>
      <c r="N252">
        <v>514510.49999999901</v>
      </c>
      <c r="O252" t="b">
        <f t="shared" si="6"/>
        <v>1</v>
      </c>
      <c r="P252">
        <v>3990</v>
      </c>
      <c r="Q252">
        <f t="shared" si="7"/>
        <v>0</v>
      </c>
      <c r="R252">
        <v>0</v>
      </c>
      <c r="S252">
        <v>9</v>
      </c>
      <c r="T252" t="b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150</v>
      </c>
      <c r="AH252">
        <v>0</v>
      </c>
      <c r="AI252">
        <v>0</v>
      </c>
      <c r="AJ252">
        <v>0</v>
      </c>
      <c r="AK252">
        <v>3840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</row>
    <row r="253" spans="1:56" x14ac:dyDescent="0.3">
      <c r="A253" t="s">
        <v>100</v>
      </c>
      <c r="B253" t="s">
        <v>56</v>
      </c>
      <c r="C253">
        <v>2082</v>
      </c>
      <c r="D253">
        <v>8</v>
      </c>
      <c r="E253">
        <v>5</v>
      </c>
      <c r="F253" t="s">
        <v>68</v>
      </c>
      <c r="G253">
        <v>5170</v>
      </c>
      <c r="H253">
        <v>0</v>
      </c>
      <c r="I253">
        <v>0</v>
      </c>
      <c r="J253">
        <v>108.5</v>
      </c>
      <c r="K253" t="s">
        <v>86</v>
      </c>
      <c r="L253" t="s">
        <v>86</v>
      </c>
      <c r="M253" t="b">
        <v>0</v>
      </c>
      <c r="N253">
        <v>560945</v>
      </c>
      <c r="O253" t="b">
        <f t="shared" si="6"/>
        <v>1</v>
      </c>
      <c r="P253">
        <v>5170</v>
      </c>
      <c r="Q253">
        <f t="shared" si="7"/>
        <v>0</v>
      </c>
      <c r="R253">
        <v>0</v>
      </c>
      <c r="S253">
        <v>9</v>
      </c>
      <c r="T253" t="b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5170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</row>
    <row r="254" spans="1:56" x14ac:dyDescent="0.3">
      <c r="A254" t="s">
        <v>100</v>
      </c>
      <c r="B254" t="s">
        <v>56</v>
      </c>
      <c r="C254">
        <v>2082</v>
      </c>
      <c r="D254">
        <v>9</v>
      </c>
      <c r="E254">
        <v>6</v>
      </c>
      <c r="F254" t="s">
        <v>57</v>
      </c>
      <c r="G254">
        <v>6410</v>
      </c>
      <c r="H254">
        <v>0</v>
      </c>
      <c r="I254">
        <v>0</v>
      </c>
      <c r="J254">
        <v>77.489999999999995</v>
      </c>
      <c r="K254" t="s">
        <v>86</v>
      </c>
      <c r="L254" t="s">
        <v>86</v>
      </c>
      <c r="M254" t="b">
        <v>0</v>
      </c>
      <c r="N254">
        <v>496710.89999999898</v>
      </c>
      <c r="O254" t="b">
        <f t="shared" si="6"/>
        <v>1</v>
      </c>
      <c r="P254">
        <v>6410</v>
      </c>
      <c r="Q254">
        <f t="shared" si="7"/>
        <v>0</v>
      </c>
      <c r="R254">
        <v>0</v>
      </c>
      <c r="S254">
        <v>9</v>
      </c>
      <c r="T254" t="b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6410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</row>
    <row r="255" spans="1:56" x14ac:dyDescent="0.3">
      <c r="A255" t="s">
        <v>100</v>
      </c>
      <c r="B255" t="s">
        <v>56</v>
      </c>
      <c r="C255">
        <v>2082</v>
      </c>
      <c r="D255">
        <v>10</v>
      </c>
      <c r="E255">
        <v>7</v>
      </c>
      <c r="F255" t="s">
        <v>59</v>
      </c>
      <c r="G255">
        <v>7670</v>
      </c>
      <c r="H255">
        <v>0</v>
      </c>
      <c r="I255">
        <v>0</v>
      </c>
      <c r="J255">
        <v>52.5</v>
      </c>
      <c r="K255" t="s">
        <v>86</v>
      </c>
      <c r="L255" t="s">
        <v>86</v>
      </c>
      <c r="M255" t="b">
        <v>0</v>
      </c>
      <c r="N255">
        <v>402675</v>
      </c>
      <c r="O255" t="b">
        <f t="shared" si="6"/>
        <v>1</v>
      </c>
      <c r="P255">
        <v>7670</v>
      </c>
      <c r="Q255">
        <f t="shared" si="7"/>
        <v>0</v>
      </c>
      <c r="R255">
        <v>0</v>
      </c>
      <c r="S255">
        <v>9</v>
      </c>
      <c r="T255" t="b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7670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</row>
    <row r="256" spans="1:56" x14ac:dyDescent="0.3">
      <c r="A256" t="s">
        <v>100</v>
      </c>
      <c r="B256" t="s">
        <v>56</v>
      </c>
      <c r="C256">
        <v>2082</v>
      </c>
      <c r="D256">
        <v>11</v>
      </c>
      <c r="E256">
        <v>8</v>
      </c>
      <c r="F256" t="s">
        <v>60</v>
      </c>
      <c r="G256">
        <v>3780</v>
      </c>
      <c r="H256">
        <v>0</v>
      </c>
      <c r="I256">
        <v>0</v>
      </c>
      <c r="J256">
        <v>40.56</v>
      </c>
      <c r="K256" t="s">
        <v>86</v>
      </c>
      <c r="L256" t="s">
        <v>86</v>
      </c>
      <c r="M256" t="b">
        <v>0</v>
      </c>
      <c r="N256">
        <v>153316.79999999999</v>
      </c>
      <c r="O256" t="b">
        <f t="shared" si="6"/>
        <v>1</v>
      </c>
      <c r="P256">
        <v>3780</v>
      </c>
      <c r="Q256">
        <f t="shared" si="7"/>
        <v>0</v>
      </c>
      <c r="R256">
        <v>0</v>
      </c>
      <c r="S256">
        <v>9</v>
      </c>
      <c r="T256" t="b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3780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</row>
    <row r="257" spans="1:56" x14ac:dyDescent="0.3">
      <c r="A257" t="s">
        <v>100</v>
      </c>
      <c r="B257" t="s">
        <v>56</v>
      </c>
      <c r="C257">
        <v>2082</v>
      </c>
      <c r="D257">
        <v>12</v>
      </c>
      <c r="E257">
        <v>9</v>
      </c>
      <c r="F257" t="s">
        <v>61</v>
      </c>
      <c r="G257">
        <v>4770</v>
      </c>
      <c r="H257">
        <v>0</v>
      </c>
      <c r="I257">
        <v>0</v>
      </c>
      <c r="J257">
        <v>47.5</v>
      </c>
      <c r="K257" t="s">
        <v>86</v>
      </c>
      <c r="L257" t="s">
        <v>86</v>
      </c>
      <c r="M257" t="b">
        <v>0</v>
      </c>
      <c r="N257">
        <v>226575</v>
      </c>
      <c r="O257" t="b">
        <f t="shared" si="6"/>
        <v>1</v>
      </c>
      <c r="P257">
        <v>4770</v>
      </c>
      <c r="Q257">
        <f t="shared" si="7"/>
        <v>0</v>
      </c>
      <c r="R257">
        <v>0</v>
      </c>
      <c r="S257">
        <v>9</v>
      </c>
      <c r="T257" t="b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4770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</row>
    <row r="258" spans="1:56" x14ac:dyDescent="0.3">
      <c r="A258" t="s">
        <v>100</v>
      </c>
      <c r="B258" t="s">
        <v>56</v>
      </c>
      <c r="C258">
        <v>2083</v>
      </c>
      <c r="D258">
        <v>1</v>
      </c>
      <c r="E258">
        <v>10</v>
      </c>
      <c r="F258" t="s">
        <v>62</v>
      </c>
      <c r="G258">
        <v>2700</v>
      </c>
      <c r="H258">
        <v>0</v>
      </c>
      <c r="I258">
        <v>0</v>
      </c>
      <c r="J258">
        <v>45.5</v>
      </c>
      <c r="K258" t="s">
        <v>86</v>
      </c>
      <c r="L258" t="s">
        <v>86</v>
      </c>
      <c r="M258" t="b">
        <v>0</v>
      </c>
      <c r="N258">
        <v>122850</v>
      </c>
      <c r="O258" t="b">
        <f t="shared" ref="O258:O321" si="8">IF(P258=G258,TRUE,FALSE)</f>
        <v>1</v>
      </c>
      <c r="P258">
        <v>2700</v>
      </c>
      <c r="Q258">
        <f t="shared" si="7"/>
        <v>0</v>
      </c>
      <c r="R258">
        <v>0</v>
      </c>
      <c r="S258">
        <v>9</v>
      </c>
      <c r="T258" t="b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2700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</row>
    <row r="259" spans="1:56" x14ac:dyDescent="0.3">
      <c r="A259" t="s">
        <v>101</v>
      </c>
      <c r="B259" t="s">
        <v>56</v>
      </c>
      <c r="C259">
        <v>2082</v>
      </c>
      <c r="D259">
        <v>4</v>
      </c>
      <c r="E259">
        <v>1</v>
      </c>
      <c r="F259" t="s">
        <v>70</v>
      </c>
      <c r="G259">
        <v>424477</v>
      </c>
      <c r="H259">
        <v>25</v>
      </c>
      <c r="I259">
        <v>150</v>
      </c>
      <c r="J259">
        <v>53</v>
      </c>
      <c r="K259" t="s">
        <v>58</v>
      </c>
      <c r="L259" t="s">
        <v>58</v>
      </c>
      <c r="M259" t="b">
        <v>0</v>
      </c>
      <c r="N259">
        <v>22497281</v>
      </c>
      <c r="O259" t="b">
        <f t="shared" si="8"/>
        <v>1</v>
      </c>
      <c r="P259">
        <v>424477</v>
      </c>
      <c r="Q259">
        <f t="shared" si="7"/>
        <v>0</v>
      </c>
      <c r="R259">
        <v>0</v>
      </c>
      <c r="S259">
        <v>10</v>
      </c>
      <c r="T259" t="b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59683</v>
      </c>
      <c r="AC259">
        <v>9479</v>
      </c>
      <c r="AD259">
        <v>39680</v>
      </c>
      <c r="AE259">
        <v>0</v>
      </c>
      <c r="AF259">
        <v>0</v>
      </c>
      <c r="AG259">
        <v>50535</v>
      </c>
      <c r="AH259">
        <v>0</v>
      </c>
      <c r="AI259">
        <v>0</v>
      </c>
      <c r="AJ259">
        <v>0</v>
      </c>
      <c r="AK259">
        <v>149825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81205</v>
      </c>
      <c r="AR259">
        <v>0</v>
      </c>
      <c r="AS259">
        <v>6295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4960</v>
      </c>
      <c r="BA259">
        <v>0</v>
      </c>
      <c r="BB259">
        <v>0</v>
      </c>
      <c r="BC259">
        <v>2550</v>
      </c>
      <c r="BD259">
        <v>20265</v>
      </c>
    </row>
    <row r="260" spans="1:56" x14ac:dyDescent="0.3">
      <c r="A260" t="s">
        <v>101</v>
      </c>
      <c r="B260" t="s">
        <v>56</v>
      </c>
      <c r="C260">
        <v>2082</v>
      </c>
      <c r="D260">
        <v>5</v>
      </c>
      <c r="E260">
        <v>2</v>
      </c>
      <c r="F260" t="s">
        <v>65</v>
      </c>
      <c r="G260">
        <v>263390</v>
      </c>
      <c r="H260">
        <v>25</v>
      </c>
      <c r="I260">
        <v>150</v>
      </c>
      <c r="J260">
        <v>71.11</v>
      </c>
      <c r="K260" t="s">
        <v>58</v>
      </c>
      <c r="L260" t="s">
        <v>58</v>
      </c>
      <c r="M260" t="b">
        <v>0</v>
      </c>
      <c r="N260">
        <v>18729662.899999999</v>
      </c>
      <c r="O260" t="b">
        <f t="shared" si="8"/>
        <v>1</v>
      </c>
      <c r="P260">
        <v>263390</v>
      </c>
      <c r="Q260">
        <f t="shared" si="7"/>
        <v>0</v>
      </c>
      <c r="R260">
        <v>0</v>
      </c>
      <c r="S260">
        <v>10</v>
      </c>
      <c r="T260" t="b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37425</v>
      </c>
      <c r="AC260">
        <v>650</v>
      </c>
      <c r="AD260">
        <v>57400</v>
      </c>
      <c r="AE260">
        <v>0</v>
      </c>
      <c r="AF260">
        <v>0</v>
      </c>
      <c r="AG260">
        <v>17485</v>
      </c>
      <c r="AH260">
        <v>0</v>
      </c>
      <c r="AI260">
        <v>0</v>
      </c>
      <c r="AJ260">
        <v>0</v>
      </c>
      <c r="AK260">
        <v>89647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35333</v>
      </c>
      <c r="AR260">
        <v>0</v>
      </c>
      <c r="AS260">
        <v>6900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4050</v>
      </c>
      <c r="BA260">
        <v>0</v>
      </c>
      <c r="BB260">
        <v>0</v>
      </c>
      <c r="BC260">
        <v>4755</v>
      </c>
      <c r="BD260">
        <v>9745</v>
      </c>
    </row>
    <row r="261" spans="1:56" x14ac:dyDescent="0.3">
      <c r="A261" t="s">
        <v>101</v>
      </c>
      <c r="B261" t="s">
        <v>56</v>
      </c>
      <c r="C261">
        <v>2082</v>
      </c>
      <c r="D261">
        <v>6</v>
      </c>
      <c r="E261">
        <v>3</v>
      </c>
      <c r="F261" t="s">
        <v>66</v>
      </c>
      <c r="G261">
        <v>177455</v>
      </c>
      <c r="H261">
        <v>60</v>
      </c>
      <c r="I261">
        <v>150</v>
      </c>
      <c r="J261">
        <v>109.06</v>
      </c>
      <c r="K261" t="s">
        <v>58</v>
      </c>
      <c r="L261" t="s">
        <v>58</v>
      </c>
      <c r="M261" t="b">
        <v>0</v>
      </c>
      <c r="N261">
        <v>19353242.300000001</v>
      </c>
      <c r="O261" t="b">
        <f t="shared" si="8"/>
        <v>1</v>
      </c>
      <c r="P261">
        <v>177455</v>
      </c>
      <c r="Q261">
        <f t="shared" si="7"/>
        <v>0</v>
      </c>
      <c r="R261">
        <v>0</v>
      </c>
      <c r="S261">
        <v>10</v>
      </c>
      <c r="T261" t="b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36165</v>
      </c>
      <c r="AC261">
        <v>2760</v>
      </c>
      <c r="AD261">
        <v>44635</v>
      </c>
      <c r="AE261">
        <v>0</v>
      </c>
      <c r="AF261">
        <v>0</v>
      </c>
      <c r="AG261">
        <v>5570</v>
      </c>
      <c r="AH261">
        <v>0</v>
      </c>
      <c r="AI261">
        <v>0</v>
      </c>
      <c r="AJ261">
        <v>0</v>
      </c>
      <c r="AK261">
        <v>27640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52960</v>
      </c>
      <c r="AR261">
        <v>0</v>
      </c>
      <c r="AS261">
        <v>7725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</row>
    <row r="262" spans="1:56" x14ac:dyDescent="0.3">
      <c r="A262" t="s">
        <v>101</v>
      </c>
      <c r="B262" t="s">
        <v>56</v>
      </c>
      <c r="C262">
        <v>2082</v>
      </c>
      <c r="D262">
        <v>7</v>
      </c>
      <c r="E262">
        <v>4</v>
      </c>
      <c r="F262" t="s">
        <v>67</v>
      </c>
      <c r="G262">
        <v>195746</v>
      </c>
      <c r="H262">
        <v>60</v>
      </c>
      <c r="I262">
        <v>150</v>
      </c>
      <c r="J262">
        <v>104.74</v>
      </c>
      <c r="K262" t="s">
        <v>58</v>
      </c>
      <c r="L262" t="s">
        <v>58</v>
      </c>
      <c r="M262" t="b">
        <v>0</v>
      </c>
      <c r="N262">
        <v>20502436.039999999</v>
      </c>
      <c r="O262" t="b">
        <f t="shared" si="8"/>
        <v>1</v>
      </c>
      <c r="P262">
        <v>195746</v>
      </c>
      <c r="Q262">
        <f t="shared" si="7"/>
        <v>0</v>
      </c>
      <c r="R262">
        <v>8.0486957587894495E-2</v>
      </c>
      <c r="S262">
        <v>10</v>
      </c>
      <c r="T262" t="b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2750</v>
      </c>
      <c r="AB262">
        <v>36525</v>
      </c>
      <c r="AC262">
        <v>0</v>
      </c>
      <c r="AD262">
        <v>31935</v>
      </c>
      <c r="AE262">
        <v>15755</v>
      </c>
      <c r="AF262">
        <v>0</v>
      </c>
      <c r="AG262">
        <v>13405</v>
      </c>
      <c r="AH262">
        <v>0</v>
      </c>
      <c r="AI262">
        <v>0</v>
      </c>
      <c r="AJ262">
        <v>0</v>
      </c>
      <c r="AK262">
        <v>29781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64475</v>
      </c>
      <c r="AR262">
        <v>0</v>
      </c>
      <c r="AS262">
        <v>1120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</row>
    <row r="263" spans="1:56" x14ac:dyDescent="0.3">
      <c r="A263" t="s">
        <v>101</v>
      </c>
      <c r="B263" t="s">
        <v>56</v>
      </c>
      <c r="C263">
        <v>2082</v>
      </c>
      <c r="D263">
        <v>8</v>
      </c>
      <c r="E263">
        <v>5</v>
      </c>
      <c r="F263" t="s">
        <v>68</v>
      </c>
      <c r="G263">
        <v>230735</v>
      </c>
      <c r="H263">
        <v>50</v>
      </c>
      <c r="I263">
        <v>150</v>
      </c>
      <c r="J263">
        <v>106.58</v>
      </c>
      <c r="K263" t="s">
        <v>58</v>
      </c>
      <c r="L263" t="s">
        <v>58</v>
      </c>
      <c r="M263" t="b">
        <v>0</v>
      </c>
      <c r="N263">
        <v>24591736.300000001</v>
      </c>
      <c r="O263" t="b">
        <f t="shared" si="8"/>
        <v>1</v>
      </c>
      <c r="P263">
        <v>230735</v>
      </c>
      <c r="Q263">
        <f t="shared" si="7"/>
        <v>0</v>
      </c>
      <c r="R263">
        <v>0.21459683186339301</v>
      </c>
      <c r="S263">
        <v>10</v>
      </c>
      <c r="T263" t="b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25120</v>
      </c>
      <c r="AC263">
        <v>640</v>
      </c>
      <c r="AD263">
        <v>3415</v>
      </c>
      <c r="AE263">
        <v>49515</v>
      </c>
      <c r="AF263">
        <v>0</v>
      </c>
      <c r="AG263">
        <v>11940</v>
      </c>
      <c r="AH263">
        <v>0</v>
      </c>
      <c r="AI263">
        <v>0</v>
      </c>
      <c r="AJ263">
        <v>0</v>
      </c>
      <c r="AK263">
        <v>31515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59430</v>
      </c>
      <c r="AR263">
        <v>0</v>
      </c>
      <c r="AS263">
        <v>49160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</row>
    <row r="264" spans="1:56" x14ac:dyDescent="0.3">
      <c r="A264" t="s">
        <v>101</v>
      </c>
      <c r="B264" t="s">
        <v>56</v>
      </c>
      <c r="C264">
        <v>2082</v>
      </c>
      <c r="D264">
        <v>9</v>
      </c>
      <c r="E264">
        <v>6</v>
      </c>
      <c r="F264" t="s">
        <v>57</v>
      </c>
      <c r="G264">
        <v>176915</v>
      </c>
      <c r="H264">
        <v>50</v>
      </c>
      <c r="I264">
        <v>150</v>
      </c>
      <c r="J264">
        <v>91.14</v>
      </c>
      <c r="K264" t="s">
        <v>58</v>
      </c>
      <c r="L264" t="s">
        <v>58</v>
      </c>
      <c r="M264" t="b">
        <v>0</v>
      </c>
      <c r="N264">
        <v>16124033.1</v>
      </c>
      <c r="O264" t="b">
        <f t="shared" si="8"/>
        <v>1</v>
      </c>
      <c r="P264">
        <v>176915</v>
      </c>
      <c r="Q264">
        <f t="shared" si="7"/>
        <v>0</v>
      </c>
      <c r="R264">
        <v>0.34160472543311698</v>
      </c>
      <c r="S264">
        <v>10</v>
      </c>
      <c r="T264" t="b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5570</v>
      </c>
      <c r="AC264">
        <v>420</v>
      </c>
      <c r="AD264">
        <v>0</v>
      </c>
      <c r="AE264">
        <v>60435</v>
      </c>
      <c r="AF264">
        <v>0</v>
      </c>
      <c r="AG264">
        <v>17270</v>
      </c>
      <c r="AH264">
        <v>0</v>
      </c>
      <c r="AI264">
        <v>0</v>
      </c>
      <c r="AJ264">
        <v>0</v>
      </c>
      <c r="AK264">
        <v>20250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45975</v>
      </c>
      <c r="AR264">
        <v>26995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</row>
    <row r="265" spans="1:56" x14ac:dyDescent="0.3">
      <c r="A265" t="s">
        <v>101</v>
      </c>
      <c r="B265" t="s">
        <v>56</v>
      </c>
      <c r="C265">
        <v>2082</v>
      </c>
      <c r="D265">
        <v>10</v>
      </c>
      <c r="E265">
        <v>7</v>
      </c>
      <c r="F265" t="s">
        <v>59</v>
      </c>
      <c r="G265">
        <v>125205</v>
      </c>
      <c r="H265">
        <v>60</v>
      </c>
      <c r="I265">
        <v>150</v>
      </c>
      <c r="J265">
        <v>123.71</v>
      </c>
      <c r="K265" t="s">
        <v>58</v>
      </c>
      <c r="L265" t="s">
        <v>58</v>
      </c>
      <c r="M265" t="b">
        <v>0</v>
      </c>
      <c r="N265">
        <v>15489110.5499999</v>
      </c>
      <c r="O265" t="b">
        <f t="shared" si="8"/>
        <v>1</v>
      </c>
      <c r="P265">
        <v>125205</v>
      </c>
      <c r="Q265">
        <f t="shared" si="7"/>
        <v>0</v>
      </c>
      <c r="R265">
        <v>0.43716305259374599</v>
      </c>
      <c r="S265">
        <v>10</v>
      </c>
      <c r="T265" t="b">
        <v>1</v>
      </c>
      <c r="U265">
        <v>0</v>
      </c>
      <c r="V265">
        <v>0</v>
      </c>
      <c r="W265">
        <v>0</v>
      </c>
      <c r="X265">
        <v>0</v>
      </c>
      <c r="Y265">
        <v>1150</v>
      </c>
      <c r="Z265">
        <v>0</v>
      </c>
      <c r="AA265">
        <v>0</v>
      </c>
      <c r="AB265">
        <v>2660</v>
      </c>
      <c r="AC265">
        <v>1120</v>
      </c>
      <c r="AD265">
        <v>0</v>
      </c>
      <c r="AE265">
        <v>54735</v>
      </c>
      <c r="AF265">
        <v>0</v>
      </c>
      <c r="AG265">
        <v>17455</v>
      </c>
      <c r="AH265">
        <v>0</v>
      </c>
      <c r="AI265">
        <v>0</v>
      </c>
      <c r="AJ265">
        <v>0</v>
      </c>
      <c r="AK265">
        <v>9260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35135</v>
      </c>
      <c r="AR265">
        <v>3690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</row>
    <row r="266" spans="1:56" x14ac:dyDescent="0.3">
      <c r="A266" t="s">
        <v>101</v>
      </c>
      <c r="B266" t="s">
        <v>56</v>
      </c>
      <c r="C266">
        <v>2082</v>
      </c>
      <c r="D266">
        <v>11</v>
      </c>
      <c r="E266">
        <v>8</v>
      </c>
      <c r="F266" t="s">
        <v>60</v>
      </c>
      <c r="G266">
        <v>151850</v>
      </c>
      <c r="H266">
        <v>60</v>
      </c>
      <c r="I266">
        <v>150</v>
      </c>
      <c r="J266">
        <v>122.5</v>
      </c>
      <c r="K266" t="s">
        <v>58</v>
      </c>
      <c r="L266" t="s">
        <v>58</v>
      </c>
      <c r="M266" t="b">
        <v>0</v>
      </c>
      <c r="N266">
        <v>18601625</v>
      </c>
      <c r="O266" t="b">
        <f t="shared" si="8"/>
        <v>1</v>
      </c>
      <c r="P266">
        <v>151850</v>
      </c>
      <c r="Q266">
        <f t="shared" si="7"/>
        <v>0</v>
      </c>
      <c r="R266">
        <v>0.44603226868620299</v>
      </c>
      <c r="S266">
        <v>10</v>
      </c>
      <c r="T266" t="b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12400</v>
      </c>
      <c r="AC266">
        <v>6210</v>
      </c>
      <c r="AD266">
        <v>0</v>
      </c>
      <c r="AE266">
        <v>67730</v>
      </c>
      <c r="AF266">
        <v>0</v>
      </c>
      <c r="AG266">
        <v>8890</v>
      </c>
      <c r="AH266">
        <v>0</v>
      </c>
      <c r="AI266">
        <v>0</v>
      </c>
      <c r="AJ266">
        <v>0</v>
      </c>
      <c r="AK266">
        <v>15490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41130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</row>
    <row r="267" spans="1:56" x14ac:dyDescent="0.3">
      <c r="A267" t="s">
        <v>101</v>
      </c>
      <c r="B267" t="s">
        <v>56</v>
      </c>
      <c r="C267">
        <v>2082</v>
      </c>
      <c r="D267">
        <v>12</v>
      </c>
      <c r="E267">
        <v>9</v>
      </c>
      <c r="F267" t="s">
        <v>61</v>
      </c>
      <c r="G267">
        <v>305374</v>
      </c>
      <c r="H267">
        <v>40</v>
      </c>
      <c r="I267">
        <v>100</v>
      </c>
      <c r="J267">
        <v>71.819999999999993</v>
      </c>
      <c r="K267" t="s">
        <v>58</v>
      </c>
      <c r="L267" t="s">
        <v>58</v>
      </c>
      <c r="M267" t="b">
        <v>0</v>
      </c>
      <c r="N267">
        <v>21931960.68</v>
      </c>
      <c r="O267" t="b">
        <f t="shared" si="8"/>
        <v>1</v>
      </c>
      <c r="P267">
        <v>305374</v>
      </c>
      <c r="Q267">
        <f t="shared" si="7"/>
        <v>0</v>
      </c>
      <c r="R267">
        <v>0.190471356435059</v>
      </c>
      <c r="S267">
        <v>10</v>
      </c>
      <c r="T267" t="b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79949</v>
      </c>
      <c r="AC267">
        <v>2100</v>
      </c>
      <c r="AD267">
        <v>0</v>
      </c>
      <c r="AE267">
        <v>58165</v>
      </c>
      <c r="AF267">
        <v>0</v>
      </c>
      <c r="AG267">
        <v>14330</v>
      </c>
      <c r="AH267">
        <v>0</v>
      </c>
      <c r="AI267">
        <v>0</v>
      </c>
      <c r="AJ267">
        <v>0</v>
      </c>
      <c r="AK267">
        <v>52745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95835</v>
      </c>
      <c r="AR267">
        <v>2250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</row>
    <row r="268" spans="1:56" x14ac:dyDescent="0.3">
      <c r="A268" t="s">
        <v>101</v>
      </c>
      <c r="B268" t="s">
        <v>56</v>
      </c>
      <c r="C268">
        <v>2083</v>
      </c>
      <c r="D268">
        <v>1</v>
      </c>
      <c r="E268">
        <v>10</v>
      </c>
      <c r="F268" t="s">
        <v>62</v>
      </c>
      <c r="G268">
        <v>310136</v>
      </c>
      <c r="H268">
        <v>40</v>
      </c>
      <c r="I268">
        <v>120</v>
      </c>
      <c r="J268">
        <v>74.78</v>
      </c>
      <c r="K268" t="s">
        <v>58</v>
      </c>
      <c r="L268" t="s">
        <v>58</v>
      </c>
      <c r="M268" t="b">
        <v>0</v>
      </c>
      <c r="N268">
        <v>23191970.079999998</v>
      </c>
      <c r="O268" t="b">
        <f t="shared" si="8"/>
        <v>1</v>
      </c>
      <c r="P268">
        <v>310136</v>
      </c>
      <c r="Q268">
        <f t="shared" si="7"/>
        <v>0</v>
      </c>
      <c r="R268">
        <v>5.6330126138210299E-2</v>
      </c>
      <c r="S268">
        <v>10</v>
      </c>
      <c r="T268" t="b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71671</v>
      </c>
      <c r="AC268">
        <v>9080</v>
      </c>
      <c r="AD268">
        <v>0</v>
      </c>
      <c r="AE268">
        <v>17470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109940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69590</v>
      </c>
      <c r="AR268">
        <v>24100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8285</v>
      </c>
    </row>
    <row r="269" spans="1:56" x14ac:dyDescent="0.3">
      <c r="A269" t="s">
        <v>102</v>
      </c>
      <c r="B269" t="s">
        <v>64</v>
      </c>
      <c r="C269">
        <v>2082</v>
      </c>
      <c r="D269">
        <v>5</v>
      </c>
      <c r="E269">
        <v>2</v>
      </c>
      <c r="F269" t="s">
        <v>65</v>
      </c>
      <c r="G269">
        <v>6940</v>
      </c>
      <c r="H269">
        <v>300</v>
      </c>
      <c r="I269">
        <v>450</v>
      </c>
      <c r="J269">
        <v>394.44</v>
      </c>
      <c r="K269" t="s">
        <v>58</v>
      </c>
      <c r="L269" t="s">
        <v>58</v>
      </c>
      <c r="M269" t="b">
        <v>0</v>
      </c>
      <c r="N269">
        <v>2737413.6</v>
      </c>
      <c r="O269" t="b">
        <f t="shared" si="8"/>
        <v>1</v>
      </c>
      <c r="P269">
        <v>6940</v>
      </c>
      <c r="Q269">
        <f t="shared" si="7"/>
        <v>0</v>
      </c>
      <c r="R269">
        <v>0.54178674351584999</v>
      </c>
      <c r="S269">
        <v>1</v>
      </c>
      <c r="T269" t="b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3760</v>
      </c>
      <c r="AA269">
        <v>0</v>
      </c>
      <c r="AB269">
        <v>0</v>
      </c>
      <c r="AC269">
        <v>100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50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2520</v>
      </c>
      <c r="BC269">
        <v>0</v>
      </c>
      <c r="BD269">
        <v>510</v>
      </c>
    </row>
    <row r="270" spans="1:56" x14ac:dyDescent="0.3">
      <c r="A270" t="s">
        <v>102</v>
      </c>
      <c r="B270" t="s">
        <v>64</v>
      </c>
      <c r="C270">
        <v>2082</v>
      </c>
      <c r="D270">
        <v>4</v>
      </c>
      <c r="E270">
        <v>1</v>
      </c>
      <c r="F270" t="s">
        <v>70</v>
      </c>
      <c r="G270">
        <v>7010</v>
      </c>
      <c r="H270">
        <v>300</v>
      </c>
      <c r="I270">
        <v>450</v>
      </c>
      <c r="J270">
        <v>386</v>
      </c>
      <c r="K270" t="s">
        <v>58</v>
      </c>
      <c r="L270" t="s">
        <v>58</v>
      </c>
      <c r="M270" t="b">
        <v>0</v>
      </c>
      <c r="N270">
        <v>2705860</v>
      </c>
      <c r="O270" t="b">
        <f t="shared" si="8"/>
        <v>1</v>
      </c>
      <c r="P270">
        <v>7010</v>
      </c>
      <c r="Q270">
        <f t="shared" ref="Q270:Q333" si="9">ABS(P270-G270)</f>
        <v>0</v>
      </c>
      <c r="R270">
        <v>0.50927246790299496</v>
      </c>
      <c r="S270">
        <v>9</v>
      </c>
      <c r="T270" t="b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1530</v>
      </c>
      <c r="AA270">
        <v>0</v>
      </c>
      <c r="AB270">
        <v>0</v>
      </c>
      <c r="AC270">
        <v>0</v>
      </c>
      <c r="AD270">
        <v>0</v>
      </c>
      <c r="AE270">
        <v>2040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45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2000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1085</v>
      </c>
      <c r="BC270">
        <v>0</v>
      </c>
      <c r="BD270">
        <v>310</v>
      </c>
    </row>
    <row r="271" spans="1:56" x14ac:dyDescent="0.3">
      <c r="A271" t="s">
        <v>102</v>
      </c>
      <c r="B271" t="s">
        <v>64</v>
      </c>
      <c r="C271">
        <v>2082</v>
      </c>
      <c r="D271">
        <v>6</v>
      </c>
      <c r="E271">
        <v>3</v>
      </c>
      <c r="F271" t="s">
        <v>66</v>
      </c>
      <c r="G271">
        <v>6994</v>
      </c>
      <c r="H271">
        <v>300</v>
      </c>
      <c r="I271">
        <v>400</v>
      </c>
      <c r="J271">
        <v>350</v>
      </c>
      <c r="K271" t="s">
        <v>58</v>
      </c>
      <c r="L271" t="s">
        <v>58</v>
      </c>
      <c r="M271" t="b">
        <v>0</v>
      </c>
      <c r="N271">
        <v>2447900</v>
      </c>
      <c r="O271" t="b">
        <f t="shared" si="8"/>
        <v>1</v>
      </c>
      <c r="P271">
        <v>6994</v>
      </c>
      <c r="Q271">
        <f t="shared" si="9"/>
        <v>0</v>
      </c>
      <c r="R271">
        <v>0.54389476694309402</v>
      </c>
      <c r="S271">
        <v>9</v>
      </c>
      <c r="T271" t="b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2384</v>
      </c>
      <c r="AA271">
        <v>0</v>
      </c>
      <c r="AB271">
        <v>0</v>
      </c>
      <c r="AC271">
        <v>0</v>
      </c>
      <c r="AD271">
        <v>0</v>
      </c>
      <c r="AE271">
        <v>1420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2380</v>
      </c>
      <c r="BC271">
        <v>0</v>
      </c>
      <c r="BD271">
        <v>810</v>
      </c>
    </row>
    <row r="272" spans="1:56" x14ac:dyDescent="0.3">
      <c r="A272" t="s">
        <v>102</v>
      </c>
      <c r="B272" t="s">
        <v>64</v>
      </c>
      <c r="C272">
        <v>2082</v>
      </c>
      <c r="D272">
        <v>7</v>
      </c>
      <c r="E272">
        <v>4</v>
      </c>
      <c r="F272" t="s">
        <v>67</v>
      </c>
      <c r="G272">
        <v>8260</v>
      </c>
      <c r="H272">
        <v>300</v>
      </c>
      <c r="I272">
        <v>400</v>
      </c>
      <c r="J272">
        <v>350</v>
      </c>
      <c r="K272" t="s">
        <v>58</v>
      </c>
      <c r="L272" t="s">
        <v>58</v>
      </c>
      <c r="M272" t="b">
        <v>0</v>
      </c>
      <c r="N272">
        <v>2891000</v>
      </c>
      <c r="O272" t="b">
        <f t="shared" si="8"/>
        <v>1</v>
      </c>
      <c r="P272">
        <v>8260</v>
      </c>
      <c r="Q272">
        <f t="shared" si="9"/>
        <v>0</v>
      </c>
      <c r="R272">
        <v>0.95036319612590803</v>
      </c>
      <c r="S272">
        <v>9</v>
      </c>
      <c r="T272" t="b">
        <v>0</v>
      </c>
      <c r="U272">
        <v>0</v>
      </c>
      <c r="V272">
        <v>0</v>
      </c>
      <c r="W272">
        <v>120</v>
      </c>
      <c r="X272">
        <v>0</v>
      </c>
      <c r="Y272">
        <v>0</v>
      </c>
      <c r="Z272">
        <v>1080</v>
      </c>
      <c r="AA272">
        <v>0</v>
      </c>
      <c r="AB272">
        <v>0</v>
      </c>
      <c r="AC272">
        <v>0</v>
      </c>
      <c r="AD272">
        <v>0</v>
      </c>
      <c r="AE272">
        <v>6770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50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240</v>
      </c>
      <c r="BC272">
        <v>0</v>
      </c>
      <c r="BD272">
        <v>0</v>
      </c>
    </row>
    <row r="273" spans="1:56" x14ac:dyDescent="0.3">
      <c r="A273" t="s">
        <v>102</v>
      </c>
      <c r="B273" t="s">
        <v>64</v>
      </c>
      <c r="C273">
        <v>2082</v>
      </c>
      <c r="D273">
        <v>8</v>
      </c>
      <c r="E273">
        <v>5</v>
      </c>
      <c r="F273" t="s">
        <v>68</v>
      </c>
      <c r="G273">
        <v>8170</v>
      </c>
      <c r="H273">
        <v>300</v>
      </c>
      <c r="I273">
        <v>400</v>
      </c>
      <c r="J273">
        <v>350</v>
      </c>
      <c r="K273" t="s">
        <v>58</v>
      </c>
      <c r="L273" t="s">
        <v>58</v>
      </c>
      <c r="M273" t="b">
        <v>0</v>
      </c>
      <c r="N273">
        <v>2859500</v>
      </c>
      <c r="O273" t="b">
        <f t="shared" si="8"/>
        <v>1</v>
      </c>
      <c r="P273">
        <v>8170</v>
      </c>
      <c r="Q273">
        <f t="shared" si="9"/>
        <v>0</v>
      </c>
      <c r="R273">
        <v>0.81028151774785795</v>
      </c>
      <c r="S273">
        <v>9</v>
      </c>
      <c r="T273" t="b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2060</v>
      </c>
      <c r="AA273">
        <v>0</v>
      </c>
      <c r="AB273">
        <v>0</v>
      </c>
      <c r="AC273">
        <v>0</v>
      </c>
      <c r="AD273">
        <v>0</v>
      </c>
      <c r="AE273">
        <v>4560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420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1130</v>
      </c>
      <c r="BC273">
        <v>0</v>
      </c>
      <c r="BD273">
        <v>0</v>
      </c>
    </row>
    <row r="274" spans="1:56" x14ac:dyDescent="0.3">
      <c r="A274" t="s">
        <v>102</v>
      </c>
      <c r="B274" t="s">
        <v>64</v>
      </c>
      <c r="C274">
        <v>2082</v>
      </c>
      <c r="D274">
        <v>9</v>
      </c>
      <c r="E274">
        <v>6</v>
      </c>
      <c r="F274" t="s">
        <v>57</v>
      </c>
      <c r="G274">
        <v>7490</v>
      </c>
      <c r="H274">
        <v>300</v>
      </c>
      <c r="I274">
        <v>400</v>
      </c>
      <c r="J274">
        <v>329.55</v>
      </c>
      <c r="K274" t="s">
        <v>58</v>
      </c>
      <c r="L274" t="s">
        <v>58</v>
      </c>
      <c r="M274" t="b">
        <v>0</v>
      </c>
      <c r="N274">
        <v>2468329.5</v>
      </c>
      <c r="O274" t="b">
        <f t="shared" si="8"/>
        <v>1</v>
      </c>
      <c r="P274">
        <v>7490</v>
      </c>
      <c r="Q274">
        <f t="shared" si="9"/>
        <v>0</v>
      </c>
      <c r="R274">
        <v>0.83578104138851805</v>
      </c>
      <c r="S274">
        <v>9</v>
      </c>
      <c r="T274" t="b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1740</v>
      </c>
      <c r="AA274">
        <v>0</v>
      </c>
      <c r="AB274">
        <v>0</v>
      </c>
      <c r="AC274">
        <v>0</v>
      </c>
      <c r="AD274">
        <v>0</v>
      </c>
      <c r="AE274">
        <v>4520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1230</v>
      </c>
      <c r="BC274">
        <v>0</v>
      </c>
      <c r="BD274">
        <v>0</v>
      </c>
    </row>
    <row r="275" spans="1:56" x14ac:dyDescent="0.3">
      <c r="A275" t="s">
        <v>102</v>
      </c>
      <c r="B275" t="s">
        <v>64</v>
      </c>
      <c r="C275">
        <v>2082</v>
      </c>
      <c r="D275">
        <v>10</v>
      </c>
      <c r="E275">
        <v>7</v>
      </c>
      <c r="F275" t="s">
        <v>59</v>
      </c>
      <c r="G275">
        <v>5310</v>
      </c>
      <c r="H275">
        <v>300</v>
      </c>
      <c r="I275">
        <v>350</v>
      </c>
      <c r="J275">
        <v>325</v>
      </c>
      <c r="K275" t="s">
        <v>58</v>
      </c>
      <c r="L275" t="s">
        <v>58</v>
      </c>
      <c r="M275" t="b">
        <v>0</v>
      </c>
      <c r="N275">
        <v>1725750</v>
      </c>
      <c r="O275" t="b">
        <f t="shared" si="8"/>
        <v>1</v>
      </c>
      <c r="P275">
        <v>5310</v>
      </c>
      <c r="Q275">
        <f t="shared" si="9"/>
        <v>0</v>
      </c>
      <c r="R275">
        <v>1</v>
      </c>
      <c r="S275">
        <v>9</v>
      </c>
      <c r="T275" t="b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1720</v>
      </c>
      <c r="AA275">
        <v>0</v>
      </c>
      <c r="AB275">
        <v>0</v>
      </c>
      <c r="AC275">
        <v>0</v>
      </c>
      <c r="AD275">
        <v>0</v>
      </c>
      <c r="AE275">
        <v>3590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</row>
    <row r="276" spans="1:56" x14ac:dyDescent="0.3">
      <c r="A276" t="s">
        <v>102</v>
      </c>
      <c r="B276" t="s">
        <v>64</v>
      </c>
      <c r="C276">
        <v>2082</v>
      </c>
      <c r="D276">
        <v>11</v>
      </c>
      <c r="E276">
        <v>8</v>
      </c>
      <c r="F276" t="s">
        <v>60</v>
      </c>
      <c r="G276">
        <v>3490</v>
      </c>
      <c r="H276">
        <v>300</v>
      </c>
      <c r="I276">
        <v>350</v>
      </c>
      <c r="J276">
        <v>325</v>
      </c>
      <c r="K276" t="s">
        <v>58</v>
      </c>
      <c r="L276" t="s">
        <v>58</v>
      </c>
      <c r="M276" t="b">
        <v>0</v>
      </c>
      <c r="N276">
        <v>1134250</v>
      </c>
      <c r="O276" t="b">
        <f t="shared" si="8"/>
        <v>1</v>
      </c>
      <c r="P276">
        <v>3490</v>
      </c>
      <c r="Q276">
        <f t="shared" si="9"/>
        <v>0</v>
      </c>
      <c r="R276">
        <v>1</v>
      </c>
      <c r="S276">
        <v>9</v>
      </c>
      <c r="T276" t="b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210</v>
      </c>
      <c r="AA276">
        <v>0</v>
      </c>
      <c r="AB276">
        <v>0</v>
      </c>
      <c r="AC276">
        <v>0</v>
      </c>
      <c r="AD276">
        <v>0</v>
      </c>
      <c r="AE276">
        <v>3280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</row>
    <row r="277" spans="1:56" x14ac:dyDescent="0.3">
      <c r="A277" t="s">
        <v>102</v>
      </c>
      <c r="B277" t="s">
        <v>64</v>
      </c>
      <c r="C277">
        <v>2082</v>
      </c>
      <c r="D277">
        <v>12</v>
      </c>
      <c r="E277">
        <v>9</v>
      </c>
      <c r="F277" t="s">
        <v>61</v>
      </c>
      <c r="G277">
        <v>3600</v>
      </c>
      <c r="H277">
        <v>300</v>
      </c>
      <c r="I277">
        <v>350</v>
      </c>
      <c r="J277">
        <v>325</v>
      </c>
      <c r="K277" t="s">
        <v>58</v>
      </c>
      <c r="L277" t="s">
        <v>58</v>
      </c>
      <c r="M277" t="b">
        <v>0</v>
      </c>
      <c r="N277">
        <v>1170000</v>
      </c>
      <c r="O277" t="b">
        <f t="shared" si="8"/>
        <v>1</v>
      </c>
      <c r="P277">
        <v>3600</v>
      </c>
      <c r="Q277">
        <f t="shared" si="9"/>
        <v>0</v>
      </c>
      <c r="R277">
        <v>1</v>
      </c>
      <c r="S277">
        <v>9</v>
      </c>
      <c r="T277" t="b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320</v>
      </c>
      <c r="AA277">
        <v>0</v>
      </c>
      <c r="AB277">
        <v>0</v>
      </c>
      <c r="AC277">
        <v>0</v>
      </c>
      <c r="AD277">
        <v>0</v>
      </c>
      <c r="AE277">
        <v>3280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</row>
    <row r="278" spans="1:56" x14ac:dyDescent="0.3">
      <c r="A278" t="s">
        <v>102</v>
      </c>
      <c r="B278" t="s">
        <v>64</v>
      </c>
      <c r="C278">
        <v>2083</v>
      </c>
      <c r="D278">
        <v>1</v>
      </c>
      <c r="E278">
        <v>10</v>
      </c>
      <c r="F278" t="s">
        <v>62</v>
      </c>
      <c r="G278">
        <v>21050</v>
      </c>
      <c r="H278">
        <v>300</v>
      </c>
      <c r="I278">
        <v>350</v>
      </c>
      <c r="J278">
        <v>325</v>
      </c>
      <c r="K278" t="s">
        <v>58</v>
      </c>
      <c r="L278" t="s">
        <v>58</v>
      </c>
      <c r="M278" t="b">
        <v>0</v>
      </c>
      <c r="N278">
        <v>6841250</v>
      </c>
      <c r="O278" t="b">
        <f t="shared" si="8"/>
        <v>1</v>
      </c>
      <c r="P278">
        <v>21050</v>
      </c>
      <c r="Q278">
        <f t="shared" si="9"/>
        <v>0</v>
      </c>
      <c r="R278">
        <v>0.99002375296912104</v>
      </c>
      <c r="S278">
        <v>9</v>
      </c>
      <c r="T278" t="b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4980</v>
      </c>
      <c r="AA278">
        <v>0</v>
      </c>
      <c r="AB278">
        <v>0</v>
      </c>
      <c r="AC278">
        <v>0</v>
      </c>
      <c r="AD278">
        <v>0</v>
      </c>
      <c r="AE278">
        <v>15860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210</v>
      </c>
      <c r="BC278">
        <v>0</v>
      </c>
      <c r="BD278">
        <v>0</v>
      </c>
    </row>
    <row r="279" spans="1:56" x14ac:dyDescent="0.3">
      <c r="A279" t="s">
        <v>103</v>
      </c>
      <c r="B279" t="s">
        <v>56</v>
      </c>
      <c r="C279">
        <v>2082</v>
      </c>
      <c r="D279">
        <v>4</v>
      </c>
      <c r="E279">
        <v>1</v>
      </c>
      <c r="F279" t="s">
        <v>70</v>
      </c>
      <c r="G279">
        <v>0</v>
      </c>
      <c r="H279">
        <v>60</v>
      </c>
      <c r="I279">
        <v>100</v>
      </c>
      <c r="J279">
        <v>69.17</v>
      </c>
      <c r="K279" t="s">
        <v>86</v>
      </c>
      <c r="L279" t="s">
        <v>86</v>
      </c>
      <c r="M279" t="b">
        <v>1</v>
      </c>
      <c r="N279">
        <v>0</v>
      </c>
      <c r="O279" t="b">
        <f t="shared" si="8"/>
        <v>1</v>
      </c>
      <c r="P279">
        <v>0</v>
      </c>
      <c r="Q279">
        <f t="shared" si="9"/>
        <v>0</v>
      </c>
      <c r="S279">
        <v>8</v>
      </c>
      <c r="T279" t="b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</row>
    <row r="280" spans="1:56" x14ac:dyDescent="0.3">
      <c r="A280" t="s">
        <v>103</v>
      </c>
      <c r="B280" t="s">
        <v>56</v>
      </c>
      <c r="C280">
        <v>2082</v>
      </c>
      <c r="D280">
        <v>7</v>
      </c>
      <c r="E280">
        <v>4</v>
      </c>
      <c r="F280" t="s">
        <v>67</v>
      </c>
      <c r="G280">
        <v>2822</v>
      </c>
      <c r="J280">
        <v>90.85</v>
      </c>
      <c r="K280" t="s">
        <v>86</v>
      </c>
      <c r="L280" t="s">
        <v>86</v>
      </c>
      <c r="M280" t="b">
        <v>1</v>
      </c>
      <c r="N280">
        <v>256378.69999999899</v>
      </c>
      <c r="O280" t="b">
        <f t="shared" si="8"/>
        <v>1</v>
      </c>
      <c r="P280">
        <v>2822</v>
      </c>
      <c r="Q280">
        <f t="shared" si="9"/>
        <v>0</v>
      </c>
      <c r="R280">
        <v>0</v>
      </c>
      <c r="S280">
        <v>8</v>
      </c>
      <c r="T280" t="b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30</v>
      </c>
      <c r="AH280">
        <v>0</v>
      </c>
      <c r="AI280">
        <v>0</v>
      </c>
      <c r="AJ280">
        <v>0</v>
      </c>
      <c r="AK280">
        <v>2792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</row>
    <row r="281" spans="1:56" x14ac:dyDescent="0.3">
      <c r="A281" t="s">
        <v>103</v>
      </c>
      <c r="B281" t="s">
        <v>56</v>
      </c>
      <c r="C281">
        <v>2082</v>
      </c>
      <c r="D281">
        <v>8</v>
      </c>
      <c r="E281">
        <v>5</v>
      </c>
      <c r="F281" t="s">
        <v>68</v>
      </c>
      <c r="G281">
        <v>5180</v>
      </c>
      <c r="H281">
        <v>0</v>
      </c>
      <c r="I281">
        <v>0</v>
      </c>
      <c r="J281">
        <v>108.5</v>
      </c>
      <c r="K281" t="s">
        <v>86</v>
      </c>
      <c r="L281" t="s">
        <v>86</v>
      </c>
      <c r="M281" t="b">
        <v>1</v>
      </c>
      <c r="N281">
        <v>562030</v>
      </c>
      <c r="O281" t="b">
        <f t="shared" si="8"/>
        <v>1</v>
      </c>
      <c r="P281">
        <v>5180</v>
      </c>
      <c r="Q281">
        <f t="shared" si="9"/>
        <v>0</v>
      </c>
      <c r="R281">
        <v>0</v>
      </c>
      <c r="S281">
        <v>8</v>
      </c>
      <c r="T281" t="b">
        <v>0</v>
      </c>
      <c r="U281">
        <v>0</v>
      </c>
      <c r="V281">
        <v>0</v>
      </c>
      <c r="W281">
        <v>0</v>
      </c>
      <c r="X281">
        <v>0</v>
      </c>
      <c r="Y281">
        <v>1670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3510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</row>
    <row r="282" spans="1:56" x14ac:dyDescent="0.3">
      <c r="A282" t="s">
        <v>103</v>
      </c>
      <c r="B282" t="s">
        <v>56</v>
      </c>
      <c r="C282">
        <v>2082</v>
      </c>
      <c r="D282">
        <v>9</v>
      </c>
      <c r="E282">
        <v>6</v>
      </c>
      <c r="F282" t="s">
        <v>57</v>
      </c>
      <c r="G282">
        <v>10330</v>
      </c>
      <c r="H282">
        <v>0</v>
      </c>
      <c r="I282">
        <v>0</v>
      </c>
      <c r="J282">
        <v>77.56</v>
      </c>
      <c r="K282" t="s">
        <v>86</v>
      </c>
      <c r="L282" t="s">
        <v>86</v>
      </c>
      <c r="M282" t="b">
        <v>1</v>
      </c>
      <c r="N282">
        <v>801194.8</v>
      </c>
      <c r="O282" t="b">
        <f t="shared" si="8"/>
        <v>1</v>
      </c>
      <c r="P282">
        <v>10330</v>
      </c>
      <c r="Q282">
        <f t="shared" si="9"/>
        <v>0</v>
      </c>
      <c r="R282">
        <v>0</v>
      </c>
      <c r="S282">
        <v>8</v>
      </c>
      <c r="T282" t="b">
        <v>0</v>
      </c>
      <c r="U282">
        <v>0</v>
      </c>
      <c r="V282">
        <v>0</v>
      </c>
      <c r="W282">
        <v>0</v>
      </c>
      <c r="X282">
        <v>0</v>
      </c>
      <c r="Y282">
        <v>4700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5630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</row>
    <row r="283" spans="1:56" x14ac:dyDescent="0.3">
      <c r="A283" t="s">
        <v>103</v>
      </c>
      <c r="B283" t="s">
        <v>56</v>
      </c>
      <c r="C283">
        <v>2082</v>
      </c>
      <c r="D283">
        <v>10</v>
      </c>
      <c r="E283">
        <v>7</v>
      </c>
      <c r="F283" t="s">
        <v>59</v>
      </c>
      <c r="G283">
        <v>7328</v>
      </c>
      <c r="H283">
        <v>0</v>
      </c>
      <c r="I283">
        <v>0</v>
      </c>
      <c r="J283">
        <v>50</v>
      </c>
      <c r="K283" t="s">
        <v>86</v>
      </c>
      <c r="L283" t="s">
        <v>86</v>
      </c>
      <c r="M283" t="b">
        <v>1</v>
      </c>
      <c r="N283">
        <v>366400</v>
      </c>
      <c r="O283" t="b">
        <f t="shared" si="8"/>
        <v>1</v>
      </c>
      <c r="P283">
        <v>7328</v>
      </c>
      <c r="Q283">
        <f t="shared" si="9"/>
        <v>0</v>
      </c>
      <c r="R283">
        <v>0</v>
      </c>
      <c r="S283">
        <v>8</v>
      </c>
      <c r="T283" t="b">
        <v>0</v>
      </c>
      <c r="U283">
        <v>0</v>
      </c>
      <c r="V283">
        <v>0</v>
      </c>
      <c r="W283">
        <v>0</v>
      </c>
      <c r="X283">
        <v>0</v>
      </c>
      <c r="Y283">
        <v>3210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290</v>
      </c>
      <c r="AH283">
        <v>0</v>
      </c>
      <c r="AI283">
        <v>0</v>
      </c>
      <c r="AJ283">
        <v>0</v>
      </c>
      <c r="AK283">
        <v>3508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320</v>
      </c>
      <c r="BA283">
        <v>0</v>
      </c>
      <c r="BB283">
        <v>0</v>
      </c>
      <c r="BC283">
        <v>0</v>
      </c>
      <c r="BD283">
        <v>0</v>
      </c>
    </row>
    <row r="284" spans="1:56" x14ac:dyDescent="0.3">
      <c r="A284" t="s">
        <v>103</v>
      </c>
      <c r="B284" t="s">
        <v>56</v>
      </c>
      <c r="C284">
        <v>2082</v>
      </c>
      <c r="D284">
        <v>11</v>
      </c>
      <c r="E284">
        <v>8</v>
      </c>
      <c r="F284" t="s">
        <v>60</v>
      </c>
      <c r="G284">
        <v>5020</v>
      </c>
      <c r="H284">
        <v>0</v>
      </c>
      <c r="I284">
        <v>0</v>
      </c>
      <c r="J284">
        <v>40.56</v>
      </c>
      <c r="K284" t="s">
        <v>86</v>
      </c>
      <c r="L284" t="s">
        <v>86</v>
      </c>
      <c r="M284" t="b">
        <v>1</v>
      </c>
      <c r="N284">
        <v>203611.2</v>
      </c>
      <c r="O284" t="b">
        <f t="shared" si="8"/>
        <v>1</v>
      </c>
      <c r="P284">
        <v>5020</v>
      </c>
      <c r="Q284">
        <f t="shared" si="9"/>
        <v>0</v>
      </c>
      <c r="R284">
        <v>0</v>
      </c>
      <c r="S284">
        <v>8</v>
      </c>
      <c r="T284" t="b">
        <v>0</v>
      </c>
      <c r="U284">
        <v>0</v>
      </c>
      <c r="V284">
        <v>0</v>
      </c>
      <c r="W284">
        <v>0</v>
      </c>
      <c r="X284">
        <v>0</v>
      </c>
      <c r="Y284">
        <v>910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240</v>
      </c>
      <c r="AH284">
        <v>0</v>
      </c>
      <c r="AI284">
        <v>0</v>
      </c>
      <c r="AJ284">
        <v>0</v>
      </c>
      <c r="AK284">
        <v>3550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320</v>
      </c>
      <c r="BA284">
        <v>0</v>
      </c>
      <c r="BB284">
        <v>0</v>
      </c>
      <c r="BC284">
        <v>0</v>
      </c>
      <c r="BD284">
        <v>0</v>
      </c>
    </row>
    <row r="285" spans="1:56" x14ac:dyDescent="0.3">
      <c r="A285" t="s">
        <v>103</v>
      </c>
      <c r="B285" t="s">
        <v>56</v>
      </c>
      <c r="C285">
        <v>2082</v>
      </c>
      <c r="D285">
        <v>12</v>
      </c>
      <c r="E285">
        <v>9</v>
      </c>
      <c r="F285" t="s">
        <v>61</v>
      </c>
      <c r="G285">
        <v>4650</v>
      </c>
      <c r="H285">
        <v>0</v>
      </c>
      <c r="I285">
        <v>0</v>
      </c>
      <c r="J285">
        <v>47.5</v>
      </c>
      <c r="K285" t="s">
        <v>86</v>
      </c>
      <c r="L285" t="s">
        <v>86</v>
      </c>
      <c r="M285" t="b">
        <v>1</v>
      </c>
      <c r="N285">
        <v>220875</v>
      </c>
      <c r="O285" t="b">
        <f t="shared" si="8"/>
        <v>1</v>
      </c>
      <c r="P285">
        <v>4650</v>
      </c>
      <c r="Q285">
        <f t="shared" si="9"/>
        <v>0</v>
      </c>
      <c r="R285">
        <v>0</v>
      </c>
      <c r="S285">
        <v>8</v>
      </c>
      <c r="T285" t="b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4650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</row>
    <row r="286" spans="1:56" x14ac:dyDescent="0.3">
      <c r="A286" t="s">
        <v>103</v>
      </c>
      <c r="B286" t="s">
        <v>56</v>
      </c>
      <c r="C286">
        <v>2083</v>
      </c>
      <c r="D286">
        <v>1</v>
      </c>
      <c r="E286">
        <v>10</v>
      </c>
      <c r="F286" t="s">
        <v>62</v>
      </c>
      <c r="G286">
        <v>2640</v>
      </c>
      <c r="H286">
        <v>0</v>
      </c>
      <c r="I286">
        <v>0</v>
      </c>
      <c r="J286">
        <v>52.33</v>
      </c>
      <c r="K286" t="s">
        <v>86</v>
      </c>
      <c r="L286" t="s">
        <v>86</v>
      </c>
      <c r="M286" t="b">
        <v>1</v>
      </c>
      <c r="N286">
        <v>138151.19999999899</v>
      </c>
      <c r="O286" t="b">
        <f t="shared" si="8"/>
        <v>1</v>
      </c>
      <c r="P286">
        <v>2640</v>
      </c>
      <c r="Q286">
        <f t="shared" si="9"/>
        <v>0</v>
      </c>
      <c r="R286">
        <v>0</v>
      </c>
      <c r="S286">
        <v>8</v>
      </c>
      <c r="T286" t="b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2640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</row>
    <row r="287" spans="1:56" x14ac:dyDescent="0.3">
      <c r="A287" t="s">
        <v>104</v>
      </c>
      <c r="B287" t="s">
        <v>56</v>
      </c>
      <c r="C287">
        <v>2082</v>
      </c>
      <c r="D287">
        <v>4</v>
      </c>
      <c r="E287">
        <v>1</v>
      </c>
      <c r="F287" t="s">
        <v>70</v>
      </c>
      <c r="G287">
        <v>232945</v>
      </c>
      <c r="H287">
        <v>60</v>
      </c>
      <c r="I287">
        <v>180</v>
      </c>
      <c r="J287">
        <v>100.2</v>
      </c>
      <c r="K287" t="s">
        <v>58</v>
      </c>
      <c r="L287" t="s">
        <v>58</v>
      </c>
      <c r="M287" t="b">
        <v>0</v>
      </c>
      <c r="N287">
        <v>23341089</v>
      </c>
      <c r="O287" t="b">
        <f t="shared" si="8"/>
        <v>1</v>
      </c>
      <c r="P287">
        <v>232945</v>
      </c>
      <c r="Q287">
        <f t="shared" si="9"/>
        <v>0</v>
      </c>
      <c r="R287">
        <v>0</v>
      </c>
      <c r="S287">
        <v>10</v>
      </c>
      <c r="T287" t="b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88400</v>
      </c>
      <c r="AC287">
        <v>0</v>
      </c>
      <c r="AD287">
        <v>4805</v>
      </c>
      <c r="AE287">
        <v>0</v>
      </c>
      <c r="AF287">
        <v>0</v>
      </c>
      <c r="AG287">
        <v>35235</v>
      </c>
      <c r="AH287">
        <v>0</v>
      </c>
      <c r="AI287">
        <v>0</v>
      </c>
      <c r="AJ287">
        <v>0</v>
      </c>
      <c r="AK287">
        <v>30515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73780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210</v>
      </c>
    </row>
    <row r="288" spans="1:56" x14ac:dyDescent="0.3">
      <c r="A288" t="s">
        <v>104</v>
      </c>
      <c r="B288" t="s">
        <v>56</v>
      </c>
      <c r="C288">
        <v>2082</v>
      </c>
      <c r="D288">
        <v>5</v>
      </c>
      <c r="E288">
        <v>2</v>
      </c>
      <c r="F288" t="s">
        <v>65</v>
      </c>
      <c r="G288">
        <v>136005</v>
      </c>
      <c r="H288">
        <v>50</v>
      </c>
      <c r="I288">
        <v>180</v>
      </c>
      <c r="J288">
        <v>82.5</v>
      </c>
      <c r="K288" t="s">
        <v>58</v>
      </c>
      <c r="L288" t="s">
        <v>58</v>
      </c>
      <c r="M288" t="b">
        <v>0</v>
      </c>
      <c r="N288">
        <v>11220412.5</v>
      </c>
      <c r="O288" t="b">
        <f t="shared" si="8"/>
        <v>1</v>
      </c>
      <c r="P288">
        <v>136005</v>
      </c>
      <c r="Q288">
        <f t="shared" si="9"/>
        <v>0</v>
      </c>
      <c r="R288">
        <v>0</v>
      </c>
      <c r="S288">
        <v>10</v>
      </c>
      <c r="T288" t="b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54135</v>
      </c>
      <c r="AC288">
        <v>210</v>
      </c>
      <c r="AD288">
        <v>2680</v>
      </c>
      <c r="AE288">
        <v>0</v>
      </c>
      <c r="AF288">
        <v>0</v>
      </c>
      <c r="AG288">
        <v>19505</v>
      </c>
      <c r="AH288">
        <v>0</v>
      </c>
      <c r="AI288">
        <v>0</v>
      </c>
      <c r="AJ288">
        <v>0</v>
      </c>
      <c r="AK288">
        <v>15165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40235</v>
      </c>
      <c r="AR288">
        <v>0</v>
      </c>
      <c r="AS288">
        <v>4075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</row>
    <row r="289" spans="1:56" x14ac:dyDescent="0.3">
      <c r="A289" t="s">
        <v>104</v>
      </c>
      <c r="B289" t="s">
        <v>56</v>
      </c>
      <c r="C289">
        <v>2082</v>
      </c>
      <c r="D289">
        <v>6</v>
      </c>
      <c r="E289">
        <v>3</v>
      </c>
      <c r="F289" t="s">
        <v>66</v>
      </c>
      <c r="G289">
        <v>109658</v>
      </c>
      <c r="H289">
        <v>130</v>
      </c>
      <c r="I289">
        <v>200</v>
      </c>
      <c r="J289">
        <v>159.38</v>
      </c>
      <c r="K289" t="s">
        <v>58</v>
      </c>
      <c r="L289" t="s">
        <v>58</v>
      </c>
      <c r="M289" t="b">
        <v>0</v>
      </c>
      <c r="N289">
        <v>17477292.039999999</v>
      </c>
      <c r="O289" t="b">
        <f t="shared" si="8"/>
        <v>1</v>
      </c>
      <c r="P289">
        <v>109658</v>
      </c>
      <c r="Q289">
        <f t="shared" si="9"/>
        <v>0</v>
      </c>
      <c r="R289">
        <v>0</v>
      </c>
      <c r="S289">
        <v>10</v>
      </c>
      <c r="T289" t="b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47040</v>
      </c>
      <c r="AC289">
        <v>0</v>
      </c>
      <c r="AD289">
        <v>3730</v>
      </c>
      <c r="AE289">
        <v>0</v>
      </c>
      <c r="AF289">
        <v>0</v>
      </c>
      <c r="AG289">
        <v>1660</v>
      </c>
      <c r="AH289">
        <v>0</v>
      </c>
      <c r="AI289">
        <v>0</v>
      </c>
      <c r="AJ289">
        <v>0</v>
      </c>
      <c r="AK289">
        <v>23504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31034</v>
      </c>
      <c r="AR289">
        <v>0</v>
      </c>
      <c r="AS289">
        <v>2350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340</v>
      </c>
    </row>
    <row r="290" spans="1:56" x14ac:dyDescent="0.3">
      <c r="A290" t="s">
        <v>104</v>
      </c>
      <c r="B290" t="s">
        <v>56</v>
      </c>
      <c r="C290">
        <v>2082</v>
      </c>
      <c r="D290">
        <v>7</v>
      </c>
      <c r="E290">
        <v>4</v>
      </c>
      <c r="F290" t="s">
        <v>67</v>
      </c>
      <c r="G290">
        <v>158900</v>
      </c>
      <c r="H290">
        <v>80</v>
      </c>
      <c r="I290">
        <v>200</v>
      </c>
      <c r="J290">
        <v>131.05000000000001</v>
      </c>
      <c r="K290" t="s">
        <v>58</v>
      </c>
      <c r="L290" t="s">
        <v>58</v>
      </c>
      <c r="M290" t="b">
        <v>0</v>
      </c>
      <c r="N290">
        <v>20823845</v>
      </c>
      <c r="O290" t="b">
        <f t="shared" si="8"/>
        <v>1</v>
      </c>
      <c r="P290">
        <v>158900</v>
      </c>
      <c r="Q290">
        <f t="shared" si="9"/>
        <v>0</v>
      </c>
      <c r="R290">
        <v>0</v>
      </c>
      <c r="S290">
        <v>10</v>
      </c>
      <c r="T290" t="b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65765</v>
      </c>
      <c r="AC290">
        <v>1170</v>
      </c>
      <c r="AD290">
        <v>1140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36385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52200</v>
      </c>
      <c r="AR290">
        <v>0</v>
      </c>
      <c r="AS290">
        <v>2240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</row>
    <row r="291" spans="1:56" x14ac:dyDescent="0.3">
      <c r="A291" t="s">
        <v>104</v>
      </c>
      <c r="B291" t="s">
        <v>56</v>
      </c>
      <c r="C291">
        <v>2082</v>
      </c>
      <c r="D291">
        <v>8</v>
      </c>
      <c r="E291">
        <v>5</v>
      </c>
      <c r="F291" t="s">
        <v>68</v>
      </c>
      <c r="G291">
        <v>200560</v>
      </c>
      <c r="H291">
        <v>120</v>
      </c>
      <c r="I291">
        <v>200</v>
      </c>
      <c r="J291">
        <v>160</v>
      </c>
      <c r="K291" t="s">
        <v>58</v>
      </c>
      <c r="L291" t="s">
        <v>58</v>
      </c>
      <c r="M291" t="b">
        <v>0</v>
      </c>
      <c r="N291">
        <v>32089600</v>
      </c>
      <c r="O291" t="b">
        <f t="shared" si="8"/>
        <v>1</v>
      </c>
      <c r="P291">
        <v>200560</v>
      </c>
      <c r="Q291">
        <f t="shared" si="9"/>
        <v>0</v>
      </c>
      <c r="R291">
        <v>1.1268448344635E-2</v>
      </c>
      <c r="S291">
        <v>10</v>
      </c>
      <c r="T291" t="b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540</v>
      </c>
      <c r="AB291">
        <v>80260</v>
      </c>
      <c r="AC291">
        <v>1320</v>
      </c>
      <c r="AD291">
        <v>5325</v>
      </c>
      <c r="AE291">
        <v>2260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32630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70205</v>
      </c>
      <c r="AR291">
        <v>0</v>
      </c>
      <c r="AS291">
        <v>7870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150</v>
      </c>
      <c r="BD291">
        <v>0</v>
      </c>
    </row>
    <row r="292" spans="1:56" x14ac:dyDescent="0.3">
      <c r="A292" t="s">
        <v>104</v>
      </c>
      <c r="B292" t="s">
        <v>56</v>
      </c>
      <c r="C292">
        <v>2082</v>
      </c>
      <c r="D292">
        <v>9</v>
      </c>
      <c r="E292">
        <v>6</v>
      </c>
      <c r="F292" t="s">
        <v>57</v>
      </c>
      <c r="G292">
        <v>215600</v>
      </c>
      <c r="H292">
        <v>80</v>
      </c>
      <c r="I292">
        <v>160</v>
      </c>
      <c r="J292">
        <v>133.18</v>
      </c>
      <c r="K292" t="s">
        <v>58</v>
      </c>
      <c r="L292" t="s">
        <v>58</v>
      </c>
      <c r="M292" t="b">
        <v>0</v>
      </c>
      <c r="N292">
        <v>28713608</v>
      </c>
      <c r="O292" t="b">
        <f t="shared" si="8"/>
        <v>1</v>
      </c>
      <c r="P292">
        <v>215600</v>
      </c>
      <c r="Q292">
        <f t="shared" si="9"/>
        <v>0</v>
      </c>
      <c r="R292">
        <v>1.54916512059369E-2</v>
      </c>
      <c r="S292">
        <v>10</v>
      </c>
      <c r="T292" t="b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70890</v>
      </c>
      <c r="AC292">
        <v>780</v>
      </c>
      <c r="AD292">
        <v>0</v>
      </c>
      <c r="AE292">
        <v>3340</v>
      </c>
      <c r="AF292">
        <v>0</v>
      </c>
      <c r="AG292">
        <v>2140</v>
      </c>
      <c r="AH292">
        <v>0</v>
      </c>
      <c r="AI292">
        <v>0</v>
      </c>
      <c r="AJ292">
        <v>0</v>
      </c>
      <c r="AK292">
        <v>56630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81820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</row>
    <row r="293" spans="1:56" x14ac:dyDescent="0.3">
      <c r="A293" t="s">
        <v>104</v>
      </c>
      <c r="B293" t="s">
        <v>56</v>
      </c>
      <c r="C293">
        <v>2082</v>
      </c>
      <c r="D293">
        <v>10</v>
      </c>
      <c r="E293">
        <v>7</v>
      </c>
      <c r="F293" t="s">
        <v>59</v>
      </c>
      <c r="G293">
        <v>138405</v>
      </c>
      <c r="H293">
        <v>60</v>
      </c>
      <c r="I293">
        <v>180</v>
      </c>
      <c r="J293">
        <v>128.13999999999999</v>
      </c>
      <c r="K293" t="s">
        <v>58</v>
      </c>
      <c r="L293" t="s">
        <v>58</v>
      </c>
      <c r="M293" t="b">
        <v>0</v>
      </c>
      <c r="N293">
        <v>17735216.699999999</v>
      </c>
      <c r="O293" t="b">
        <f t="shared" si="8"/>
        <v>1</v>
      </c>
      <c r="P293">
        <v>138405</v>
      </c>
      <c r="Q293">
        <f t="shared" si="9"/>
        <v>0</v>
      </c>
      <c r="R293">
        <v>0.14341967414472001</v>
      </c>
      <c r="S293">
        <v>10</v>
      </c>
      <c r="T293" t="b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38690</v>
      </c>
      <c r="AC293">
        <v>210</v>
      </c>
      <c r="AD293">
        <v>1875</v>
      </c>
      <c r="AE293">
        <v>19850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21030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56750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</row>
    <row r="294" spans="1:56" x14ac:dyDescent="0.3">
      <c r="A294" t="s">
        <v>104</v>
      </c>
      <c r="B294" t="s">
        <v>56</v>
      </c>
      <c r="C294">
        <v>2082</v>
      </c>
      <c r="D294">
        <v>11</v>
      </c>
      <c r="E294">
        <v>8</v>
      </c>
      <c r="F294" t="s">
        <v>60</v>
      </c>
      <c r="G294">
        <v>93620</v>
      </c>
      <c r="H294">
        <v>60</v>
      </c>
      <c r="I294">
        <v>180</v>
      </c>
      <c r="J294">
        <v>104.72</v>
      </c>
      <c r="K294" t="s">
        <v>58</v>
      </c>
      <c r="L294" t="s">
        <v>58</v>
      </c>
      <c r="M294" t="b">
        <v>0</v>
      </c>
      <c r="N294">
        <v>9803886.4000000004</v>
      </c>
      <c r="O294" t="b">
        <f t="shared" si="8"/>
        <v>1</v>
      </c>
      <c r="P294">
        <v>93620</v>
      </c>
      <c r="Q294">
        <f t="shared" si="9"/>
        <v>0</v>
      </c>
      <c r="R294">
        <v>9.94445631275368E-2</v>
      </c>
      <c r="S294">
        <v>10</v>
      </c>
      <c r="T294" t="b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16655</v>
      </c>
      <c r="AC294">
        <v>0</v>
      </c>
      <c r="AD294">
        <v>2450</v>
      </c>
      <c r="AE294">
        <v>9310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14905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50300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</row>
    <row r="295" spans="1:56" x14ac:dyDescent="0.3">
      <c r="A295" t="s">
        <v>104</v>
      </c>
      <c r="B295" t="s">
        <v>56</v>
      </c>
      <c r="C295">
        <v>2082</v>
      </c>
      <c r="D295">
        <v>12</v>
      </c>
      <c r="E295">
        <v>9</v>
      </c>
      <c r="F295" t="s">
        <v>61</v>
      </c>
      <c r="G295">
        <v>192895</v>
      </c>
      <c r="H295">
        <v>60</v>
      </c>
      <c r="I295">
        <v>150</v>
      </c>
      <c r="J295">
        <v>117.95</v>
      </c>
      <c r="K295" t="s">
        <v>58</v>
      </c>
      <c r="L295" t="s">
        <v>58</v>
      </c>
      <c r="M295" t="b">
        <v>0</v>
      </c>
      <c r="N295">
        <v>22751965.25</v>
      </c>
      <c r="O295" t="b">
        <f t="shared" si="8"/>
        <v>1</v>
      </c>
      <c r="P295">
        <v>192895</v>
      </c>
      <c r="Q295">
        <f t="shared" si="9"/>
        <v>0</v>
      </c>
      <c r="R295">
        <v>1.1094118561911901E-2</v>
      </c>
      <c r="S295">
        <v>10</v>
      </c>
      <c r="T295" t="b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78580</v>
      </c>
      <c r="AC295">
        <v>0</v>
      </c>
      <c r="AD295">
        <v>9890</v>
      </c>
      <c r="AE295">
        <v>2140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33070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69215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</row>
    <row r="296" spans="1:56" x14ac:dyDescent="0.3">
      <c r="A296" t="s">
        <v>104</v>
      </c>
      <c r="B296" t="s">
        <v>56</v>
      </c>
      <c r="C296">
        <v>2083</v>
      </c>
      <c r="D296">
        <v>1</v>
      </c>
      <c r="E296">
        <v>10</v>
      </c>
      <c r="F296" t="s">
        <v>62</v>
      </c>
      <c r="G296">
        <v>192270</v>
      </c>
      <c r="H296">
        <v>60</v>
      </c>
      <c r="I296">
        <v>150</v>
      </c>
      <c r="J296">
        <v>108.91</v>
      </c>
      <c r="K296" t="s">
        <v>58</v>
      </c>
      <c r="L296" t="s">
        <v>58</v>
      </c>
      <c r="M296" t="b">
        <v>0</v>
      </c>
      <c r="N296">
        <v>20940125.699999999</v>
      </c>
      <c r="O296" t="b">
        <f t="shared" si="8"/>
        <v>1</v>
      </c>
      <c r="P296">
        <v>192270</v>
      </c>
      <c r="Q296">
        <f t="shared" si="9"/>
        <v>0</v>
      </c>
      <c r="R296">
        <v>0</v>
      </c>
      <c r="S296">
        <v>10</v>
      </c>
      <c r="T296" t="b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64970</v>
      </c>
      <c r="AC296">
        <v>6380</v>
      </c>
      <c r="AD296">
        <v>0</v>
      </c>
      <c r="AE296">
        <v>0</v>
      </c>
      <c r="AF296">
        <v>0</v>
      </c>
      <c r="AG296">
        <v>2800</v>
      </c>
      <c r="AH296">
        <v>0</v>
      </c>
      <c r="AI296">
        <v>0</v>
      </c>
      <c r="AJ296">
        <v>0</v>
      </c>
      <c r="AK296">
        <v>43650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74470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</row>
    <row r="297" spans="1:56" x14ac:dyDescent="0.3">
      <c r="A297" t="s">
        <v>105</v>
      </c>
      <c r="B297" t="s">
        <v>56</v>
      </c>
      <c r="C297">
        <v>2082</v>
      </c>
      <c r="D297">
        <v>4</v>
      </c>
      <c r="E297">
        <v>1</v>
      </c>
      <c r="F297" t="s">
        <v>70</v>
      </c>
      <c r="G297">
        <v>9300</v>
      </c>
      <c r="H297">
        <v>130</v>
      </c>
      <c r="I297">
        <v>230</v>
      </c>
      <c r="J297">
        <v>156</v>
      </c>
      <c r="K297" t="s">
        <v>58</v>
      </c>
      <c r="L297" t="s">
        <v>58</v>
      </c>
      <c r="M297" t="b">
        <v>0</v>
      </c>
      <c r="N297">
        <v>1450800</v>
      </c>
      <c r="O297" t="b">
        <f t="shared" si="8"/>
        <v>1</v>
      </c>
      <c r="P297">
        <v>9300</v>
      </c>
      <c r="Q297">
        <f t="shared" si="9"/>
        <v>0</v>
      </c>
      <c r="R297">
        <v>0.40752688172043</v>
      </c>
      <c r="S297">
        <v>8</v>
      </c>
      <c r="T297" t="b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540</v>
      </c>
      <c r="AB297">
        <v>0</v>
      </c>
      <c r="AC297">
        <v>0</v>
      </c>
      <c r="AD297">
        <v>0</v>
      </c>
      <c r="AE297">
        <v>3790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4970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</row>
    <row r="298" spans="1:56" x14ac:dyDescent="0.3">
      <c r="A298" t="s">
        <v>105</v>
      </c>
      <c r="B298" t="s">
        <v>56</v>
      </c>
      <c r="C298">
        <v>2082</v>
      </c>
      <c r="D298">
        <v>5</v>
      </c>
      <c r="E298">
        <v>2</v>
      </c>
      <c r="F298" t="s">
        <v>65</v>
      </c>
      <c r="G298">
        <v>2660</v>
      </c>
      <c r="H298">
        <v>130</v>
      </c>
      <c r="I298">
        <v>250</v>
      </c>
      <c r="J298">
        <v>178.54</v>
      </c>
      <c r="K298" t="s">
        <v>58</v>
      </c>
      <c r="L298" t="s">
        <v>58</v>
      </c>
      <c r="M298" t="b">
        <v>0</v>
      </c>
      <c r="N298">
        <v>474916.39999999898</v>
      </c>
      <c r="O298" t="b">
        <f t="shared" si="8"/>
        <v>1</v>
      </c>
      <c r="P298">
        <v>2660</v>
      </c>
      <c r="Q298">
        <f t="shared" si="9"/>
        <v>0</v>
      </c>
      <c r="R298">
        <v>0</v>
      </c>
      <c r="S298">
        <v>8</v>
      </c>
      <c r="T298" t="b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2660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</row>
    <row r="299" spans="1:56" x14ac:dyDescent="0.3">
      <c r="A299" t="s">
        <v>105</v>
      </c>
      <c r="B299" t="s">
        <v>56</v>
      </c>
      <c r="C299">
        <v>2082</v>
      </c>
      <c r="D299">
        <v>6</v>
      </c>
      <c r="E299">
        <v>3</v>
      </c>
      <c r="F299" t="s">
        <v>66</v>
      </c>
      <c r="G299">
        <v>7550</v>
      </c>
      <c r="H299">
        <v>180</v>
      </c>
      <c r="I299">
        <v>230</v>
      </c>
      <c r="J299">
        <v>211.88</v>
      </c>
      <c r="K299" t="s">
        <v>58</v>
      </c>
      <c r="L299" t="s">
        <v>58</v>
      </c>
      <c r="M299" t="b">
        <v>0</v>
      </c>
      <c r="N299">
        <v>1599694</v>
      </c>
      <c r="O299" t="b">
        <f t="shared" si="8"/>
        <v>1</v>
      </c>
      <c r="P299">
        <v>7550</v>
      </c>
      <c r="Q299">
        <f t="shared" si="9"/>
        <v>0</v>
      </c>
      <c r="R299">
        <v>0</v>
      </c>
      <c r="S299">
        <v>8</v>
      </c>
      <c r="T299" t="b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5340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2210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</row>
    <row r="300" spans="1:56" x14ac:dyDescent="0.3">
      <c r="A300" t="s">
        <v>105</v>
      </c>
      <c r="B300" t="s">
        <v>56</v>
      </c>
      <c r="C300">
        <v>2082</v>
      </c>
      <c r="D300">
        <v>7</v>
      </c>
      <c r="E300">
        <v>4</v>
      </c>
      <c r="F300" t="s">
        <v>67</v>
      </c>
      <c r="G300">
        <v>6750</v>
      </c>
      <c r="H300">
        <v>180</v>
      </c>
      <c r="I300">
        <v>200</v>
      </c>
      <c r="J300">
        <v>190</v>
      </c>
      <c r="K300" t="s">
        <v>58</v>
      </c>
      <c r="L300" t="s">
        <v>58</v>
      </c>
      <c r="M300" t="b">
        <v>0</v>
      </c>
      <c r="N300">
        <v>1282500</v>
      </c>
      <c r="O300" t="b">
        <f t="shared" si="8"/>
        <v>1</v>
      </c>
      <c r="P300">
        <v>6750</v>
      </c>
      <c r="Q300">
        <f t="shared" si="9"/>
        <v>0</v>
      </c>
      <c r="R300">
        <v>0</v>
      </c>
      <c r="S300">
        <v>8</v>
      </c>
      <c r="T300" t="b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6750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</row>
    <row r="301" spans="1:56" x14ac:dyDescent="0.3">
      <c r="A301" t="s">
        <v>105</v>
      </c>
      <c r="B301" t="s">
        <v>56</v>
      </c>
      <c r="C301">
        <v>2082</v>
      </c>
      <c r="D301">
        <v>8</v>
      </c>
      <c r="E301">
        <v>5</v>
      </c>
      <c r="F301" t="s">
        <v>68</v>
      </c>
      <c r="G301">
        <v>0</v>
      </c>
      <c r="H301">
        <v>180</v>
      </c>
      <c r="I301">
        <v>200</v>
      </c>
      <c r="J301">
        <v>190</v>
      </c>
      <c r="K301" t="s">
        <v>58</v>
      </c>
      <c r="L301" t="s">
        <v>58</v>
      </c>
      <c r="M301" t="b">
        <v>0</v>
      </c>
      <c r="N301">
        <v>0</v>
      </c>
      <c r="O301" t="b">
        <f t="shared" si="8"/>
        <v>1</v>
      </c>
      <c r="P301">
        <v>0</v>
      </c>
      <c r="Q301">
        <f t="shared" si="9"/>
        <v>0</v>
      </c>
      <c r="S301">
        <v>8</v>
      </c>
      <c r="T301" t="b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</row>
    <row r="302" spans="1:56" x14ac:dyDescent="0.3">
      <c r="A302" t="s">
        <v>105</v>
      </c>
      <c r="B302" t="s">
        <v>56</v>
      </c>
      <c r="C302">
        <v>2082</v>
      </c>
      <c r="D302">
        <v>10</v>
      </c>
      <c r="E302">
        <v>7</v>
      </c>
      <c r="F302" t="s">
        <v>59</v>
      </c>
      <c r="G302">
        <v>0</v>
      </c>
      <c r="H302">
        <v>180</v>
      </c>
      <c r="I302">
        <v>200</v>
      </c>
      <c r="J302">
        <v>190</v>
      </c>
      <c r="K302" t="s">
        <v>58</v>
      </c>
      <c r="L302" t="s">
        <v>58</v>
      </c>
      <c r="M302" t="b">
        <v>0</v>
      </c>
      <c r="N302">
        <v>0</v>
      </c>
      <c r="O302" t="b">
        <f t="shared" si="8"/>
        <v>1</v>
      </c>
      <c r="P302">
        <v>0</v>
      </c>
      <c r="Q302">
        <f t="shared" si="9"/>
        <v>0</v>
      </c>
      <c r="S302">
        <v>8</v>
      </c>
      <c r="T302" t="b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</row>
    <row r="303" spans="1:56" x14ac:dyDescent="0.3">
      <c r="A303" t="s">
        <v>105</v>
      </c>
      <c r="B303" t="s">
        <v>56</v>
      </c>
      <c r="C303">
        <v>2082</v>
      </c>
      <c r="D303">
        <v>12</v>
      </c>
      <c r="E303">
        <v>9</v>
      </c>
      <c r="F303" t="s">
        <v>61</v>
      </c>
      <c r="G303">
        <v>1140</v>
      </c>
      <c r="H303">
        <v>0</v>
      </c>
      <c r="I303">
        <v>0</v>
      </c>
      <c r="J303">
        <v>135</v>
      </c>
      <c r="K303" t="s">
        <v>58</v>
      </c>
      <c r="L303" t="s">
        <v>58</v>
      </c>
      <c r="M303" t="b">
        <v>0</v>
      </c>
      <c r="N303">
        <v>153900</v>
      </c>
      <c r="O303" t="b">
        <f t="shared" si="8"/>
        <v>1</v>
      </c>
      <c r="P303">
        <v>1140</v>
      </c>
      <c r="Q303">
        <f t="shared" si="9"/>
        <v>0</v>
      </c>
      <c r="R303">
        <v>1</v>
      </c>
      <c r="S303">
        <v>8</v>
      </c>
      <c r="T303" t="b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1140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</row>
    <row r="304" spans="1:56" x14ac:dyDescent="0.3">
      <c r="A304" t="s">
        <v>105</v>
      </c>
      <c r="B304" t="s">
        <v>56</v>
      </c>
      <c r="C304">
        <v>2083</v>
      </c>
      <c r="D304">
        <v>1</v>
      </c>
      <c r="E304">
        <v>10</v>
      </c>
      <c r="F304" t="s">
        <v>62</v>
      </c>
      <c r="G304">
        <v>7560</v>
      </c>
      <c r="H304">
        <v>0</v>
      </c>
      <c r="I304">
        <v>0</v>
      </c>
      <c r="J304">
        <v>120</v>
      </c>
      <c r="K304" t="s">
        <v>58</v>
      </c>
      <c r="L304" t="s">
        <v>58</v>
      </c>
      <c r="M304" t="b">
        <v>0</v>
      </c>
      <c r="N304">
        <v>907200</v>
      </c>
      <c r="O304" t="b">
        <f t="shared" si="8"/>
        <v>1</v>
      </c>
      <c r="P304">
        <v>7560</v>
      </c>
      <c r="Q304">
        <f t="shared" si="9"/>
        <v>0</v>
      </c>
      <c r="R304">
        <v>0.362433862433862</v>
      </c>
      <c r="S304">
        <v>8</v>
      </c>
      <c r="T304" t="b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4230</v>
      </c>
      <c r="AB304">
        <v>0</v>
      </c>
      <c r="AC304">
        <v>240</v>
      </c>
      <c r="AD304">
        <v>0</v>
      </c>
      <c r="AE304">
        <v>2740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350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</row>
    <row r="305" spans="1:56" x14ac:dyDescent="0.3">
      <c r="A305" t="s">
        <v>106</v>
      </c>
      <c r="B305" t="s">
        <v>56</v>
      </c>
      <c r="C305">
        <v>2082</v>
      </c>
      <c r="D305">
        <v>4</v>
      </c>
      <c r="E305">
        <v>1</v>
      </c>
      <c r="F305" t="s">
        <v>70</v>
      </c>
      <c r="G305">
        <v>7940</v>
      </c>
      <c r="H305">
        <v>150</v>
      </c>
      <c r="I305">
        <v>250</v>
      </c>
      <c r="J305">
        <v>194</v>
      </c>
      <c r="K305" t="s">
        <v>58</v>
      </c>
      <c r="L305" t="s">
        <v>58</v>
      </c>
      <c r="M305" t="b">
        <v>0</v>
      </c>
      <c r="N305">
        <v>1540360</v>
      </c>
      <c r="O305" t="b">
        <f t="shared" si="8"/>
        <v>1</v>
      </c>
      <c r="P305">
        <v>7940</v>
      </c>
      <c r="Q305">
        <f t="shared" si="9"/>
        <v>0</v>
      </c>
      <c r="R305">
        <v>0</v>
      </c>
      <c r="S305">
        <v>10</v>
      </c>
      <c r="T305" t="b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1395</v>
      </c>
      <c r="AE305">
        <v>0</v>
      </c>
      <c r="AF305">
        <v>0</v>
      </c>
      <c r="AG305">
        <v>3380</v>
      </c>
      <c r="AH305">
        <v>0</v>
      </c>
      <c r="AI305">
        <v>0</v>
      </c>
      <c r="AJ305">
        <v>0</v>
      </c>
      <c r="AK305">
        <v>3165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</row>
    <row r="306" spans="1:56" x14ac:dyDescent="0.3">
      <c r="A306" t="s">
        <v>106</v>
      </c>
      <c r="B306" t="s">
        <v>56</v>
      </c>
      <c r="C306">
        <v>2082</v>
      </c>
      <c r="D306">
        <v>5</v>
      </c>
      <c r="E306">
        <v>2</v>
      </c>
      <c r="F306" t="s">
        <v>65</v>
      </c>
      <c r="G306">
        <v>4065</v>
      </c>
      <c r="H306">
        <v>100</v>
      </c>
      <c r="I306">
        <v>250</v>
      </c>
      <c r="J306">
        <v>177.43</v>
      </c>
      <c r="K306" t="s">
        <v>58</v>
      </c>
      <c r="L306" t="s">
        <v>58</v>
      </c>
      <c r="M306" t="b">
        <v>0</v>
      </c>
      <c r="N306">
        <v>721252.95</v>
      </c>
      <c r="O306" t="b">
        <f t="shared" si="8"/>
        <v>1</v>
      </c>
      <c r="P306">
        <v>4065</v>
      </c>
      <c r="Q306">
        <f t="shared" si="9"/>
        <v>0</v>
      </c>
      <c r="R306">
        <v>0</v>
      </c>
      <c r="S306">
        <v>10</v>
      </c>
      <c r="T306" t="b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55</v>
      </c>
      <c r="AE306">
        <v>0</v>
      </c>
      <c r="AF306">
        <v>0</v>
      </c>
      <c r="AG306">
        <v>2365</v>
      </c>
      <c r="AH306">
        <v>0</v>
      </c>
      <c r="AI306">
        <v>0</v>
      </c>
      <c r="AJ306">
        <v>0</v>
      </c>
      <c r="AK306">
        <v>1645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</row>
    <row r="307" spans="1:56" x14ac:dyDescent="0.3">
      <c r="A307" t="s">
        <v>106</v>
      </c>
      <c r="B307" t="s">
        <v>56</v>
      </c>
      <c r="C307">
        <v>2082</v>
      </c>
      <c r="D307">
        <v>6</v>
      </c>
      <c r="E307">
        <v>3</v>
      </c>
      <c r="F307" t="s">
        <v>66</v>
      </c>
      <c r="G307">
        <v>3430</v>
      </c>
      <c r="H307">
        <v>200</v>
      </c>
      <c r="I307">
        <v>250</v>
      </c>
      <c r="J307">
        <v>225</v>
      </c>
      <c r="K307" t="s">
        <v>58</v>
      </c>
      <c r="L307" t="s">
        <v>58</v>
      </c>
      <c r="M307" t="b">
        <v>0</v>
      </c>
      <c r="N307">
        <v>771750</v>
      </c>
      <c r="O307" t="b">
        <f t="shared" si="8"/>
        <v>1</v>
      </c>
      <c r="P307">
        <v>3430</v>
      </c>
      <c r="Q307">
        <f t="shared" si="9"/>
        <v>0</v>
      </c>
      <c r="R307">
        <v>0</v>
      </c>
      <c r="S307">
        <v>10</v>
      </c>
      <c r="T307" t="b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2110</v>
      </c>
      <c r="AH307">
        <v>0</v>
      </c>
      <c r="AI307">
        <v>0</v>
      </c>
      <c r="AJ307">
        <v>0</v>
      </c>
      <c r="AK307">
        <v>1320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</row>
    <row r="308" spans="1:56" x14ac:dyDescent="0.3">
      <c r="A308" t="s">
        <v>106</v>
      </c>
      <c r="B308" t="s">
        <v>56</v>
      </c>
      <c r="C308">
        <v>2082</v>
      </c>
      <c r="D308">
        <v>7</v>
      </c>
      <c r="E308">
        <v>4</v>
      </c>
      <c r="F308" t="s">
        <v>67</v>
      </c>
      <c r="G308">
        <v>4270</v>
      </c>
      <c r="H308">
        <v>250</v>
      </c>
      <c r="I308">
        <v>500</v>
      </c>
      <c r="J308">
        <v>331.58</v>
      </c>
      <c r="K308" t="s">
        <v>58</v>
      </c>
      <c r="L308" t="s">
        <v>58</v>
      </c>
      <c r="M308" t="b">
        <v>0</v>
      </c>
      <c r="N308">
        <v>1415846.5999999901</v>
      </c>
      <c r="O308" t="b">
        <f t="shared" si="8"/>
        <v>1</v>
      </c>
      <c r="P308">
        <v>4270</v>
      </c>
      <c r="Q308">
        <f t="shared" si="9"/>
        <v>0</v>
      </c>
      <c r="R308">
        <v>0</v>
      </c>
      <c r="S308">
        <v>10</v>
      </c>
      <c r="T308" t="b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2335</v>
      </c>
      <c r="AH308">
        <v>0</v>
      </c>
      <c r="AI308">
        <v>0</v>
      </c>
      <c r="AJ308">
        <v>0</v>
      </c>
      <c r="AK308">
        <v>1935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</row>
    <row r="309" spans="1:56" x14ac:dyDescent="0.3">
      <c r="A309" t="s">
        <v>106</v>
      </c>
      <c r="B309" t="s">
        <v>56</v>
      </c>
      <c r="C309">
        <v>2082</v>
      </c>
      <c r="D309">
        <v>8</v>
      </c>
      <c r="E309">
        <v>5</v>
      </c>
      <c r="F309" t="s">
        <v>68</v>
      </c>
      <c r="G309">
        <v>0</v>
      </c>
      <c r="H309">
        <v>200</v>
      </c>
      <c r="I309">
        <v>500</v>
      </c>
      <c r="J309">
        <v>281.58</v>
      </c>
      <c r="K309" t="s">
        <v>58</v>
      </c>
      <c r="L309" t="s">
        <v>58</v>
      </c>
      <c r="M309" t="b">
        <v>0</v>
      </c>
      <c r="N309">
        <v>0</v>
      </c>
      <c r="O309" t="b">
        <f t="shared" si="8"/>
        <v>1</v>
      </c>
      <c r="P309">
        <v>0</v>
      </c>
      <c r="Q309">
        <f t="shared" si="9"/>
        <v>0</v>
      </c>
      <c r="S309">
        <v>10</v>
      </c>
      <c r="T309" t="b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</row>
    <row r="310" spans="1:56" x14ac:dyDescent="0.3">
      <c r="A310" t="s">
        <v>106</v>
      </c>
      <c r="B310" t="s">
        <v>56</v>
      </c>
      <c r="C310">
        <v>2082</v>
      </c>
      <c r="D310">
        <v>9</v>
      </c>
      <c r="E310">
        <v>6</v>
      </c>
      <c r="F310" t="s">
        <v>57</v>
      </c>
      <c r="G310">
        <v>13060</v>
      </c>
      <c r="H310">
        <v>150</v>
      </c>
      <c r="I310">
        <v>500</v>
      </c>
      <c r="J310">
        <v>219.32</v>
      </c>
      <c r="K310" t="s">
        <v>58</v>
      </c>
      <c r="L310" t="s">
        <v>58</v>
      </c>
      <c r="M310" t="b">
        <v>0</v>
      </c>
      <c r="N310">
        <v>2864319.1999999899</v>
      </c>
      <c r="O310" t="b">
        <f t="shared" si="8"/>
        <v>1</v>
      </c>
      <c r="P310">
        <v>13060</v>
      </c>
      <c r="Q310">
        <f t="shared" si="9"/>
        <v>0</v>
      </c>
      <c r="R310">
        <v>0</v>
      </c>
      <c r="S310">
        <v>10</v>
      </c>
      <c r="T310" t="b">
        <v>1</v>
      </c>
      <c r="U310">
        <v>0</v>
      </c>
      <c r="V310">
        <v>0</v>
      </c>
      <c r="W310">
        <v>0</v>
      </c>
      <c r="X310">
        <v>0</v>
      </c>
      <c r="Y310">
        <v>4050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4310</v>
      </c>
      <c r="AH310">
        <v>0</v>
      </c>
      <c r="AI310">
        <v>0</v>
      </c>
      <c r="AJ310">
        <v>0</v>
      </c>
      <c r="AK310">
        <v>3880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820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</row>
    <row r="311" spans="1:56" x14ac:dyDescent="0.3">
      <c r="A311" t="s">
        <v>106</v>
      </c>
      <c r="B311" t="s">
        <v>56</v>
      </c>
      <c r="C311">
        <v>2082</v>
      </c>
      <c r="D311">
        <v>10</v>
      </c>
      <c r="E311">
        <v>7</v>
      </c>
      <c r="F311" t="s">
        <v>59</v>
      </c>
      <c r="G311">
        <v>7730</v>
      </c>
      <c r="H311">
        <v>60</v>
      </c>
      <c r="I311">
        <v>250</v>
      </c>
      <c r="J311">
        <v>120.71</v>
      </c>
      <c r="K311" t="s">
        <v>58</v>
      </c>
      <c r="L311" t="s">
        <v>58</v>
      </c>
      <c r="M311" t="b">
        <v>0</v>
      </c>
      <c r="N311">
        <v>933088.299999999</v>
      </c>
      <c r="O311" t="b">
        <f t="shared" si="8"/>
        <v>1</v>
      </c>
      <c r="P311">
        <v>7730</v>
      </c>
      <c r="Q311">
        <f t="shared" si="9"/>
        <v>0</v>
      </c>
      <c r="R311">
        <v>0</v>
      </c>
      <c r="S311">
        <v>10</v>
      </c>
      <c r="T311" t="b">
        <v>1</v>
      </c>
      <c r="U311">
        <v>0</v>
      </c>
      <c r="V311">
        <v>0</v>
      </c>
      <c r="W311">
        <v>0</v>
      </c>
      <c r="X311">
        <v>0</v>
      </c>
      <c r="Y311">
        <v>2260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2460</v>
      </c>
      <c r="AH311">
        <v>0</v>
      </c>
      <c r="AI311">
        <v>0</v>
      </c>
      <c r="AJ311">
        <v>0</v>
      </c>
      <c r="AK311">
        <v>2660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350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</row>
    <row r="312" spans="1:56" x14ac:dyDescent="0.3">
      <c r="A312" t="s">
        <v>106</v>
      </c>
      <c r="B312" t="s">
        <v>56</v>
      </c>
      <c r="C312">
        <v>2082</v>
      </c>
      <c r="D312">
        <v>11</v>
      </c>
      <c r="E312">
        <v>8</v>
      </c>
      <c r="F312" t="s">
        <v>60</v>
      </c>
      <c r="G312">
        <v>4619</v>
      </c>
      <c r="H312">
        <v>60</v>
      </c>
      <c r="I312">
        <v>150</v>
      </c>
      <c r="J312">
        <v>93.16</v>
      </c>
      <c r="K312" t="s">
        <v>58</v>
      </c>
      <c r="L312" t="s">
        <v>58</v>
      </c>
      <c r="M312" t="b">
        <v>0</v>
      </c>
      <c r="N312">
        <v>430306.04</v>
      </c>
      <c r="O312" t="b">
        <f t="shared" si="8"/>
        <v>1</v>
      </c>
      <c r="P312">
        <v>4619</v>
      </c>
      <c r="Q312">
        <f t="shared" si="9"/>
        <v>0</v>
      </c>
      <c r="R312">
        <v>0</v>
      </c>
      <c r="S312">
        <v>10</v>
      </c>
      <c r="T312" t="b">
        <v>1</v>
      </c>
      <c r="U312">
        <v>0</v>
      </c>
      <c r="V312">
        <v>0</v>
      </c>
      <c r="W312">
        <v>0</v>
      </c>
      <c r="X312">
        <v>0</v>
      </c>
      <c r="Y312">
        <v>360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1870</v>
      </c>
      <c r="AH312">
        <v>0</v>
      </c>
      <c r="AI312">
        <v>0</v>
      </c>
      <c r="AJ312">
        <v>0</v>
      </c>
      <c r="AK312">
        <v>2039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350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</row>
    <row r="313" spans="1:56" x14ac:dyDescent="0.3">
      <c r="A313" t="s">
        <v>106</v>
      </c>
      <c r="B313" t="s">
        <v>56</v>
      </c>
      <c r="C313">
        <v>2082</v>
      </c>
      <c r="D313">
        <v>12</v>
      </c>
      <c r="E313">
        <v>9</v>
      </c>
      <c r="F313" t="s">
        <v>61</v>
      </c>
      <c r="G313">
        <v>7945</v>
      </c>
      <c r="H313">
        <v>60</v>
      </c>
      <c r="I313">
        <v>80</v>
      </c>
      <c r="J313">
        <v>70</v>
      </c>
      <c r="K313" t="s">
        <v>58</v>
      </c>
      <c r="L313" t="s">
        <v>58</v>
      </c>
      <c r="M313" t="b">
        <v>0</v>
      </c>
      <c r="N313">
        <v>556150</v>
      </c>
      <c r="O313" t="b">
        <f t="shared" si="8"/>
        <v>1</v>
      </c>
      <c r="P313">
        <v>7945</v>
      </c>
      <c r="Q313">
        <f t="shared" si="9"/>
        <v>0</v>
      </c>
      <c r="R313">
        <v>0</v>
      </c>
      <c r="S313">
        <v>10</v>
      </c>
      <c r="T313" t="b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4010</v>
      </c>
      <c r="AH313">
        <v>0</v>
      </c>
      <c r="AI313">
        <v>0</v>
      </c>
      <c r="AJ313">
        <v>0</v>
      </c>
      <c r="AK313">
        <v>3935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</row>
    <row r="314" spans="1:56" x14ac:dyDescent="0.3">
      <c r="A314" t="s">
        <v>106</v>
      </c>
      <c r="B314" t="s">
        <v>56</v>
      </c>
      <c r="C314">
        <v>2083</v>
      </c>
      <c r="D314">
        <v>1</v>
      </c>
      <c r="E314">
        <v>10</v>
      </c>
      <c r="F314" t="s">
        <v>62</v>
      </c>
      <c r="G314">
        <v>4015</v>
      </c>
      <c r="H314">
        <v>60</v>
      </c>
      <c r="I314">
        <v>80</v>
      </c>
      <c r="J314">
        <v>70</v>
      </c>
      <c r="K314" t="s">
        <v>58</v>
      </c>
      <c r="L314" t="s">
        <v>58</v>
      </c>
      <c r="M314" t="b">
        <v>0</v>
      </c>
      <c r="N314">
        <v>281050</v>
      </c>
      <c r="O314" t="b">
        <f t="shared" si="8"/>
        <v>1</v>
      </c>
      <c r="P314">
        <v>4015</v>
      </c>
      <c r="Q314">
        <f t="shared" si="9"/>
        <v>0</v>
      </c>
      <c r="R314">
        <v>0</v>
      </c>
      <c r="S314">
        <v>10</v>
      </c>
      <c r="T314" t="b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2350</v>
      </c>
      <c r="AH314">
        <v>0</v>
      </c>
      <c r="AI314">
        <v>0</v>
      </c>
      <c r="AJ314">
        <v>0</v>
      </c>
      <c r="AK314">
        <v>1665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</row>
    <row r="315" spans="1:56" x14ac:dyDescent="0.3">
      <c r="A315" t="s">
        <v>107</v>
      </c>
      <c r="B315" t="s">
        <v>56</v>
      </c>
      <c r="C315">
        <v>2082</v>
      </c>
      <c r="D315">
        <v>4</v>
      </c>
      <c r="E315">
        <v>1</v>
      </c>
      <c r="F315" t="s">
        <v>70</v>
      </c>
      <c r="G315">
        <v>42475</v>
      </c>
      <c r="H315">
        <v>90</v>
      </c>
      <c r="I315">
        <v>150</v>
      </c>
      <c r="J315">
        <v>113.8</v>
      </c>
      <c r="K315" t="s">
        <v>58</v>
      </c>
      <c r="L315" t="s">
        <v>58</v>
      </c>
      <c r="M315" t="b">
        <v>0</v>
      </c>
      <c r="N315">
        <v>4833655</v>
      </c>
      <c r="O315" t="b">
        <f t="shared" si="8"/>
        <v>1</v>
      </c>
      <c r="P315">
        <v>42475</v>
      </c>
      <c r="Q315">
        <f t="shared" si="9"/>
        <v>0</v>
      </c>
      <c r="R315">
        <v>0</v>
      </c>
      <c r="S315">
        <v>10</v>
      </c>
      <c r="T315" t="b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1140</v>
      </c>
      <c r="AB315">
        <v>0</v>
      </c>
      <c r="AC315">
        <v>0</v>
      </c>
      <c r="AD315">
        <v>36960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805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520</v>
      </c>
      <c r="AT315">
        <v>0</v>
      </c>
      <c r="AU315">
        <v>0</v>
      </c>
      <c r="AV315">
        <v>1080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1970</v>
      </c>
    </row>
    <row r="316" spans="1:56" x14ac:dyDescent="0.3">
      <c r="A316" t="s">
        <v>107</v>
      </c>
      <c r="B316" t="s">
        <v>56</v>
      </c>
      <c r="C316">
        <v>2082</v>
      </c>
      <c r="D316">
        <v>5</v>
      </c>
      <c r="E316">
        <v>2</v>
      </c>
      <c r="F316" t="s">
        <v>65</v>
      </c>
      <c r="G316">
        <v>23085</v>
      </c>
      <c r="H316">
        <v>80</v>
      </c>
      <c r="I316">
        <v>150</v>
      </c>
      <c r="J316">
        <v>112.15</v>
      </c>
      <c r="K316" t="s">
        <v>58</v>
      </c>
      <c r="L316" t="s">
        <v>58</v>
      </c>
      <c r="M316" t="b">
        <v>0</v>
      </c>
      <c r="N316">
        <v>2588982.75</v>
      </c>
      <c r="O316" t="b">
        <f t="shared" si="8"/>
        <v>1</v>
      </c>
      <c r="P316">
        <v>23085</v>
      </c>
      <c r="Q316">
        <f t="shared" si="9"/>
        <v>0</v>
      </c>
      <c r="R316">
        <v>0</v>
      </c>
      <c r="S316">
        <v>10</v>
      </c>
      <c r="T316" t="b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21360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1485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240</v>
      </c>
    </row>
    <row r="317" spans="1:56" x14ac:dyDescent="0.3">
      <c r="A317" t="s">
        <v>107</v>
      </c>
      <c r="B317" t="s">
        <v>56</v>
      </c>
      <c r="C317">
        <v>2082</v>
      </c>
      <c r="D317">
        <v>6</v>
      </c>
      <c r="E317">
        <v>3</v>
      </c>
      <c r="F317" t="s">
        <v>66</v>
      </c>
      <c r="G317">
        <v>28950</v>
      </c>
      <c r="H317">
        <v>80</v>
      </c>
      <c r="I317">
        <v>150</v>
      </c>
      <c r="J317">
        <v>116.25</v>
      </c>
      <c r="K317" t="s">
        <v>58</v>
      </c>
      <c r="L317" t="s">
        <v>58</v>
      </c>
      <c r="M317" t="b">
        <v>0</v>
      </c>
      <c r="N317">
        <v>3365437.5</v>
      </c>
      <c r="O317" t="b">
        <f t="shared" si="8"/>
        <v>1</v>
      </c>
      <c r="P317">
        <v>28950</v>
      </c>
      <c r="Q317">
        <f t="shared" si="9"/>
        <v>0</v>
      </c>
      <c r="R317">
        <v>0</v>
      </c>
      <c r="S317">
        <v>10</v>
      </c>
      <c r="T317" t="b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2360</v>
      </c>
      <c r="AB317">
        <v>2390</v>
      </c>
      <c r="AC317">
        <v>0</v>
      </c>
      <c r="AD317">
        <v>9580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14620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</row>
    <row r="318" spans="1:56" x14ac:dyDescent="0.3">
      <c r="A318" t="s">
        <v>107</v>
      </c>
      <c r="B318" t="s">
        <v>56</v>
      </c>
      <c r="C318">
        <v>2082</v>
      </c>
      <c r="D318">
        <v>7</v>
      </c>
      <c r="E318">
        <v>4</v>
      </c>
      <c r="F318" t="s">
        <v>67</v>
      </c>
      <c r="G318">
        <v>48161</v>
      </c>
      <c r="H318">
        <v>80</v>
      </c>
      <c r="I318">
        <v>130</v>
      </c>
      <c r="J318">
        <v>105</v>
      </c>
      <c r="K318" t="s">
        <v>58</v>
      </c>
      <c r="L318" t="s">
        <v>58</v>
      </c>
      <c r="M318" t="b">
        <v>0</v>
      </c>
      <c r="N318">
        <v>5056905</v>
      </c>
      <c r="O318" t="b">
        <f t="shared" si="8"/>
        <v>1</v>
      </c>
      <c r="P318">
        <v>48161</v>
      </c>
      <c r="Q318">
        <f t="shared" si="9"/>
        <v>0</v>
      </c>
      <c r="R318">
        <v>0</v>
      </c>
      <c r="S318">
        <v>10</v>
      </c>
      <c r="T318" t="b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5155</v>
      </c>
      <c r="AB318">
        <v>6965</v>
      </c>
      <c r="AC318">
        <v>240</v>
      </c>
      <c r="AD318">
        <v>5910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10576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1470</v>
      </c>
      <c r="AR318">
        <v>0</v>
      </c>
      <c r="AS318">
        <v>0</v>
      </c>
      <c r="AT318">
        <v>0</v>
      </c>
      <c r="AU318">
        <v>1100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16745</v>
      </c>
    </row>
    <row r="319" spans="1:56" x14ac:dyDescent="0.3">
      <c r="A319" t="s">
        <v>107</v>
      </c>
      <c r="B319" t="s">
        <v>56</v>
      </c>
      <c r="C319">
        <v>2082</v>
      </c>
      <c r="D319">
        <v>8</v>
      </c>
      <c r="E319">
        <v>5</v>
      </c>
      <c r="F319" t="s">
        <v>68</v>
      </c>
      <c r="G319">
        <v>36189</v>
      </c>
      <c r="H319">
        <v>80</v>
      </c>
      <c r="I319">
        <v>130</v>
      </c>
      <c r="J319">
        <v>100.26</v>
      </c>
      <c r="K319" t="s">
        <v>58</v>
      </c>
      <c r="L319" t="s">
        <v>58</v>
      </c>
      <c r="M319" t="b">
        <v>0</v>
      </c>
      <c r="N319">
        <v>3628309.14</v>
      </c>
      <c r="O319" t="b">
        <f t="shared" si="8"/>
        <v>1</v>
      </c>
      <c r="P319">
        <v>36189</v>
      </c>
      <c r="Q319">
        <f t="shared" si="9"/>
        <v>0</v>
      </c>
      <c r="R319">
        <v>0</v>
      </c>
      <c r="S319">
        <v>10</v>
      </c>
      <c r="T319" t="b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3554</v>
      </c>
      <c r="AB319">
        <v>8925</v>
      </c>
      <c r="AC319">
        <v>530</v>
      </c>
      <c r="AD319">
        <v>6290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10480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240</v>
      </c>
      <c r="AR319">
        <v>1830</v>
      </c>
      <c r="AS319">
        <v>1120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3220</v>
      </c>
    </row>
    <row r="320" spans="1:56" x14ac:dyDescent="0.3">
      <c r="A320" t="s">
        <v>107</v>
      </c>
      <c r="B320" t="s">
        <v>56</v>
      </c>
      <c r="C320">
        <v>2082</v>
      </c>
      <c r="D320">
        <v>9</v>
      </c>
      <c r="E320">
        <v>6</v>
      </c>
      <c r="F320" t="s">
        <v>57</v>
      </c>
      <c r="G320">
        <v>53130</v>
      </c>
      <c r="H320">
        <v>80</v>
      </c>
      <c r="I320">
        <v>120</v>
      </c>
      <c r="J320">
        <v>100</v>
      </c>
      <c r="K320" t="s">
        <v>58</v>
      </c>
      <c r="L320" t="s">
        <v>58</v>
      </c>
      <c r="M320" t="b">
        <v>0</v>
      </c>
      <c r="N320">
        <v>5313000</v>
      </c>
      <c r="O320" t="b">
        <f t="shared" si="8"/>
        <v>0</v>
      </c>
      <c r="P320">
        <v>112230</v>
      </c>
      <c r="Q320">
        <f t="shared" si="9"/>
        <v>59100</v>
      </c>
      <c r="R320">
        <v>0</v>
      </c>
      <c r="S320">
        <v>10</v>
      </c>
      <c r="T320" t="b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65675</v>
      </c>
      <c r="AB320">
        <v>16970</v>
      </c>
      <c r="AC320">
        <v>540</v>
      </c>
      <c r="AD320">
        <v>9365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12060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2240</v>
      </c>
      <c r="AS320">
        <v>0</v>
      </c>
      <c r="AT320">
        <v>0</v>
      </c>
      <c r="AU320">
        <v>350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5030</v>
      </c>
    </row>
    <row r="321" spans="1:56" x14ac:dyDescent="0.3">
      <c r="A321" t="s">
        <v>107</v>
      </c>
      <c r="B321" t="s">
        <v>56</v>
      </c>
      <c r="C321">
        <v>2082</v>
      </c>
      <c r="D321">
        <v>10</v>
      </c>
      <c r="E321">
        <v>7</v>
      </c>
      <c r="F321" t="s">
        <v>59</v>
      </c>
      <c r="G321">
        <v>42250</v>
      </c>
      <c r="H321">
        <v>80</v>
      </c>
      <c r="I321">
        <v>120</v>
      </c>
      <c r="J321">
        <v>100</v>
      </c>
      <c r="K321" t="s">
        <v>58</v>
      </c>
      <c r="L321" t="s">
        <v>58</v>
      </c>
      <c r="M321" t="b">
        <v>0</v>
      </c>
      <c r="N321">
        <v>4225000</v>
      </c>
      <c r="O321" t="b">
        <f t="shared" si="8"/>
        <v>1</v>
      </c>
      <c r="P321">
        <v>42250</v>
      </c>
      <c r="Q321">
        <f t="shared" si="9"/>
        <v>0</v>
      </c>
      <c r="R321">
        <v>0</v>
      </c>
      <c r="S321">
        <v>10</v>
      </c>
      <c r="T321" t="b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1890</v>
      </c>
      <c r="AB321">
        <v>7235</v>
      </c>
      <c r="AC321">
        <v>0</v>
      </c>
      <c r="AD321">
        <v>10050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4285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9530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3690</v>
      </c>
      <c r="BD321">
        <v>5570</v>
      </c>
    </row>
    <row r="322" spans="1:56" x14ac:dyDescent="0.3">
      <c r="A322" t="s">
        <v>107</v>
      </c>
      <c r="B322" t="s">
        <v>56</v>
      </c>
      <c r="C322">
        <v>2082</v>
      </c>
      <c r="D322">
        <v>11</v>
      </c>
      <c r="E322">
        <v>8</v>
      </c>
      <c r="F322" t="s">
        <v>60</v>
      </c>
      <c r="G322">
        <v>30580</v>
      </c>
      <c r="H322">
        <v>80</v>
      </c>
      <c r="I322">
        <v>120</v>
      </c>
      <c r="J322">
        <v>100</v>
      </c>
      <c r="K322" t="s">
        <v>58</v>
      </c>
      <c r="L322" t="s">
        <v>58</v>
      </c>
      <c r="M322" t="b">
        <v>0</v>
      </c>
      <c r="N322">
        <v>3058000</v>
      </c>
      <c r="O322" t="b">
        <f t="shared" ref="O322:O385" si="10">IF(P322=G322,TRUE,FALSE)</f>
        <v>1</v>
      </c>
      <c r="P322">
        <v>30580</v>
      </c>
      <c r="Q322">
        <f t="shared" si="9"/>
        <v>0</v>
      </c>
      <c r="R322">
        <v>0</v>
      </c>
      <c r="S322">
        <v>10</v>
      </c>
      <c r="T322" t="b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340</v>
      </c>
      <c r="AB322">
        <v>5210</v>
      </c>
      <c r="AC322">
        <v>0</v>
      </c>
      <c r="AD322">
        <v>5800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4660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9080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3790</v>
      </c>
      <c r="BD322">
        <v>1700</v>
      </c>
    </row>
    <row r="323" spans="1:56" x14ac:dyDescent="0.3">
      <c r="A323" t="s">
        <v>107</v>
      </c>
      <c r="B323" t="s">
        <v>56</v>
      </c>
      <c r="C323">
        <v>2082</v>
      </c>
      <c r="D323">
        <v>12</v>
      </c>
      <c r="E323">
        <v>9</v>
      </c>
      <c r="F323" t="s">
        <v>61</v>
      </c>
      <c r="G323">
        <v>37630</v>
      </c>
      <c r="H323">
        <v>80</v>
      </c>
      <c r="I323">
        <v>120</v>
      </c>
      <c r="J323">
        <v>103.18</v>
      </c>
      <c r="K323" t="s">
        <v>58</v>
      </c>
      <c r="L323" t="s">
        <v>58</v>
      </c>
      <c r="M323" t="b">
        <v>0</v>
      </c>
      <c r="N323">
        <v>3882663.4</v>
      </c>
      <c r="O323" t="b">
        <f t="shared" si="10"/>
        <v>1</v>
      </c>
      <c r="P323">
        <v>37630</v>
      </c>
      <c r="Q323">
        <f t="shared" si="9"/>
        <v>0</v>
      </c>
      <c r="R323">
        <v>0</v>
      </c>
      <c r="S323">
        <v>10</v>
      </c>
      <c r="T323" t="b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3610</v>
      </c>
      <c r="AB323">
        <v>2880</v>
      </c>
      <c r="AC323">
        <v>240</v>
      </c>
      <c r="AD323">
        <v>19980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7050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850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3020</v>
      </c>
    </row>
    <row r="324" spans="1:56" x14ac:dyDescent="0.3">
      <c r="A324" t="s">
        <v>107</v>
      </c>
      <c r="B324" t="s">
        <v>56</v>
      </c>
      <c r="C324">
        <v>2083</v>
      </c>
      <c r="D324">
        <v>1</v>
      </c>
      <c r="E324">
        <v>10</v>
      </c>
      <c r="F324" t="s">
        <v>62</v>
      </c>
      <c r="G324">
        <v>32930</v>
      </c>
      <c r="H324">
        <v>80</v>
      </c>
      <c r="I324">
        <v>150</v>
      </c>
      <c r="J324">
        <v>110.43</v>
      </c>
      <c r="K324" t="s">
        <v>58</v>
      </c>
      <c r="L324" t="s">
        <v>58</v>
      </c>
      <c r="M324" t="b">
        <v>0</v>
      </c>
      <c r="N324">
        <v>3636459.9</v>
      </c>
      <c r="O324" t="b">
        <f t="shared" si="10"/>
        <v>1</v>
      </c>
      <c r="P324">
        <v>32930</v>
      </c>
      <c r="Q324">
        <f t="shared" si="9"/>
        <v>0</v>
      </c>
      <c r="R324">
        <v>0</v>
      </c>
      <c r="S324">
        <v>10</v>
      </c>
      <c r="T324" t="b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2520</v>
      </c>
      <c r="AB324">
        <v>520</v>
      </c>
      <c r="AC324">
        <v>0</v>
      </c>
      <c r="AD324">
        <v>9340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4020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8670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3000</v>
      </c>
      <c r="BB324">
        <v>0</v>
      </c>
      <c r="BC324">
        <v>0</v>
      </c>
      <c r="BD324">
        <v>4860</v>
      </c>
    </row>
    <row r="325" spans="1:56" x14ac:dyDescent="0.3">
      <c r="A325" t="s">
        <v>108</v>
      </c>
      <c r="B325" t="s">
        <v>64</v>
      </c>
      <c r="C325">
        <v>2082</v>
      </c>
      <c r="D325">
        <v>4</v>
      </c>
      <c r="E325">
        <v>1</v>
      </c>
      <c r="F325" t="s">
        <v>70</v>
      </c>
      <c r="G325">
        <v>5530</v>
      </c>
      <c r="H325">
        <v>0</v>
      </c>
      <c r="I325">
        <v>0</v>
      </c>
      <c r="J325">
        <v>189</v>
      </c>
      <c r="K325" t="s">
        <v>58</v>
      </c>
      <c r="L325" t="s">
        <v>58</v>
      </c>
      <c r="M325" t="b">
        <v>0</v>
      </c>
      <c r="N325">
        <v>1045170</v>
      </c>
      <c r="O325" t="b">
        <f t="shared" si="10"/>
        <v>1</v>
      </c>
      <c r="P325">
        <v>5530</v>
      </c>
      <c r="Q325">
        <f t="shared" si="9"/>
        <v>0</v>
      </c>
      <c r="R325">
        <v>1</v>
      </c>
      <c r="S325">
        <v>10</v>
      </c>
      <c r="T325" t="b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4530</v>
      </c>
      <c r="AA325">
        <v>0</v>
      </c>
      <c r="AB325">
        <v>0</v>
      </c>
      <c r="AC325">
        <v>0</v>
      </c>
      <c r="AD325">
        <v>0</v>
      </c>
      <c r="AE325">
        <v>1000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</row>
    <row r="326" spans="1:56" x14ac:dyDescent="0.3">
      <c r="A326" t="s">
        <v>108</v>
      </c>
      <c r="B326" t="s">
        <v>64</v>
      </c>
      <c r="C326">
        <v>2082</v>
      </c>
      <c r="D326">
        <v>5</v>
      </c>
      <c r="E326">
        <v>2</v>
      </c>
      <c r="F326" t="s">
        <v>65</v>
      </c>
      <c r="G326">
        <v>3660</v>
      </c>
      <c r="H326">
        <v>160</v>
      </c>
      <c r="I326">
        <v>200</v>
      </c>
      <c r="J326">
        <v>179.57</v>
      </c>
      <c r="K326" t="s">
        <v>58</v>
      </c>
      <c r="L326" t="s">
        <v>58</v>
      </c>
      <c r="M326" t="b">
        <v>0</v>
      </c>
      <c r="N326">
        <v>657226.19999999995</v>
      </c>
      <c r="O326" t="b">
        <f t="shared" si="10"/>
        <v>1</v>
      </c>
      <c r="P326">
        <v>3660</v>
      </c>
      <c r="Q326">
        <f t="shared" si="9"/>
        <v>0</v>
      </c>
      <c r="R326">
        <v>1</v>
      </c>
      <c r="S326">
        <v>10</v>
      </c>
      <c r="T326" t="b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3660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</row>
    <row r="327" spans="1:56" x14ac:dyDescent="0.3">
      <c r="A327" t="s">
        <v>108</v>
      </c>
      <c r="B327" t="s">
        <v>64</v>
      </c>
      <c r="C327">
        <v>2082</v>
      </c>
      <c r="D327">
        <v>6</v>
      </c>
      <c r="E327">
        <v>3</v>
      </c>
      <c r="F327" t="s">
        <v>66</v>
      </c>
      <c r="G327">
        <v>7145</v>
      </c>
      <c r="H327">
        <v>0</v>
      </c>
      <c r="I327">
        <v>0</v>
      </c>
      <c r="J327">
        <v>500</v>
      </c>
      <c r="K327" t="s">
        <v>58</v>
      </c>
      <c r="L327" t="s">
        <v>58</v>
      </c>
      <c r="M327" t="b">
        <v>0</v>
      </c>
      <c r="N327">
        <v>3572500</v>
      </c>
      <c r="O327" t="b">
        <f t="shared" si="10"/>
        <v>1</v>
      </c>
      <c r="P327">
        <v>7145</v>
      </c>
      <c r="Q327">
        <f t="shared" si="9"/>
        <v>0</v>
      </c>
      <c r="R327">
        <v>1</v>
      </c>
      <c r="S327">
        <v>10</v>
      </c>
      <c r="T327" t="b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7145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</row>
    <row r="328" spans="1:56" x14ac:dyDescent="0.3">
      <c r="A328" t="s">
        <v>108</v>
      </c>
      <c r="B328" t="s">
        <v>64</v>
      </c>
      <c r="C328">
        <v>2082</v>
      </c>
      <c r="D328">
        <v>7</v>
      </c>
      <c r="E328">
        <v>4</v>
      </c>
      <c r="F328" t="s">
        <v>67</v>
      </c>
      <c r="G328">
        <v>13320</v>
      </c>
      <c r="J328">
        <v>450</v>
      </c>
      <c r="K328" t="s">
        <v>58</v>
      </c>
      <c r="L328" t="s">
        <v>58</v>
      </c>
      <c r="M328" t="b">
        <v>0</v>
      </c>
      <c r="N328">
        <v>5994000</v>
      </c>
      <c r="O328" t="b">
        <f t="shared" si="10"/>
        <v>1</v>
      </c>
      <c r="P328">
        <v>13320</v>
      </c>
      <c r="Q328">
        <f t="shared" si="9"/>
        <v>0</v>
      </c>
      <c r="R328">
        <v>1</v>
      </c>
      <c r="S328">
        <v>10</v>
      </c>
      <c r="T328" t="b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8800</v>
      </c>
      <c r="AA328">
        <v>0</v>
      </c>
      <c r="AB328">
        <v>0</v>
      </c>
      <c r="AC328">
        <v>0</v>
      </c>
      <c r="AD328">
        <v>0</v>
      </c>
      <c r="AE328">
        <v>4520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</row>
    <row r="329" spans="1:56" x14ac:dyDescent="0.3">
      <c r="A329" t="s">
        <v>108</v>
      </c>
      <c r="B329" t="s">
        <v>64</v>
      </c>
      <c r="C329">
        <v>2082</v>
      </c>
      <c r="D329">
        <v>8</v>
      </c>
      <c r="E329">
        <v>5</v>
      </c>
      <c r="F329" t="s">
        <v>68</v>
      </c>
      <c r="G329">
        <v>70175</v>
      </c>
      <c r="H329">
        <v>0</v>
      </c>
      <c r="I329">
        <v>0</v>
      </c>
      <c r="J329">
        <v>450</v>
      </c>
      <c r="K329" t="s">
        <v>58</v>
      </c>
      <c r="L329" t="s">
        <v>58</v>
      </c>
      <c r="M329" t="b">
        <v>0</v>
      </c>
      <c r="N329">
        <v>31578750</v>
      </c>
      <c r="O329" t="b">
        <f t="shared" si="10"/>
        <v>1</v>
      </c>
      <c r="P329">
        <v>70175</v>
      </c>
      <c r="Q329">
        <f t="shared" si="9"/>
        <v>0</v>
      </c>
      <c r="R329">
        <v>1</v>
      </c>
      <c r="S329">
        <v>10</v>
      </c>
      <c r="T329" t="b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780</v>
      </c>
      <c r="AA329">
        <v>0</v>
      </c>
      <c r="AB329">
        <v>0</v>
      </c>
      <c r="AC329">
        <v>0</v>
      </c>
      <c r="AD329">
        <v>0</v>
      </c>
      <c r="AE329">
        <v>69395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</row>
    <row r="330" spans="1:56" x14ac:dyDescent="0.3">
      <c r="A330" t="s">
        <v>108</v>
      </c>
      <c r="B330" t="s">
        <v>64</v>
      </c>
      <c r="C330">
        <v>2082</v>
      </c>
      <c r="D330">
        <v>9</v>
      </c>
      <c r="E330">
        <v>6</v>
      </c>
      <c r="F330" t="s">
        <v>57</v>
      </c>
      <c r="G330">
        <v>71105</v>
      </c>
      <c r="H330">
        <v>0</v>
      </c>
      <c r="I330">
        <v>0</v>
      </c>
      <c r="J330">
        <v>365</v>
      </c>
      <c r="K330" t="s">
        <v>58</v>
      </c>
      <c r="L330" t="s">
        <v>58</v>
      </c>
      <c r="M330" t="b">
        <v>0</v>
      </c>
      <c r="N330">
        <v>25953325</v>
      </c>
      <c r="O330" t="b">
        <f t="shared" si="10"/>
        <v>1</v>
      </c>
      <c r="P330">
        <v>71105</v>
      </c>
      <c r="Q330">
        <f t="shared" si="9"/>
        <v>0</v>
      </c>
      <c r="R330">
        <v>1</v>
      </c>
      <c r="S330">
        <v>10</v>
      </c>
      <c r="T330" t="b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880</v>
      </c>
      <c r="AA330">
        <v>0</v>
      </c>
      <c r="AB330">
        <v>0</v>
      </c>
      <c r="AC330">
        <v>0</v>
      </c>
      <c r="AD330">
        <v>0</v>
      </c>
      <c r="AE330">
        <v>70225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</row>
    <row r="331" spans="1:56" x14ac:dyDescent="0.3">
      <c r="A331" t="s">
        <v>108</v>
      </c>
      <c r="B331" t="s">
        <v>64</v>
      </c>
      <c r="C331">
        <v>2082</v>
      </c>
      <c r="D331">
        <v>10</v>
      </c>
      <c r="E331">
        <v>7</v>
      </c>
      <c r="F331" t="s">
        <v>59</v>
      </c>
      <c r="G331">
        <v>92190</v>
      </c>
      <c r="H331">
        <v>180</v>
      </c>
      <c r="I331">
        <v>220</v>
      </c>
      <c r="J331">
        <v>200</v>
      </c>
      <c r="K331" t="s">
        <v>58</v>
      </c>
      <c r="L331" t="s">
        <v>58</v>
      </c>
      <c r="M331" t="b">
        <v>0</v>
      </c>
      <c r="N331">
        <v>18438000</v>
      </c>
      <c r="O331" t="b">
        <f t="shared" si="10"/>
        <v>1</v>
      </c>
      <c r="P331">
        <v>92190</v>
      </c>
      <c r="Q331">
        <f t="shared" si="9"/>
        <v>0</v>
      </c>
      <c r="R331">
        <v>1</v>
      </c>
      <c r="S331">
        <v>10</v>
      </c>
      <c r="T331" t="b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210</v>
      </c>
      <c r="AA331">
        <v>0</v>
      </c>
      <c r="AB331">
        <v>0</v>
      </c>
      <c r="AC331">
        <v>0</v>
      </c>
      <c r="AD331">
        <v>0</v>
      </c>
      <c r="AE331">
        <v>91980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</row>
    <row r="332" spans="1:56" x14ac:dyDescent="0.3">
      <c r="A332" t="s">
        <v>108</v>
      </c>
      <c r="B332" t="s">
        <v>64</v>
      </c>
      <c r="C332">
        <v>2082</v>
      </c>
      <c r="D332">
        <v>11</v>
      </c>
      <c r="E332">
        <v>8</v>
      </c>
      <c r="F332" t="s">
        <v>60</v>
      </c>
      <c r="G332">
        <v>166360</v>
      </c>
      <c r="H332">
        <v>180</v>
      </c>
      <c r="I332">
        <v>220</v>
      </c>
      <c r="J332">
        <v>200</v>
      </c>
      <c r="K332" t="s">
        <v>58</v>
      </c>
      <c r="L332" t="s">
        <v>58</v>
      </c>
      <c r="M332" t="b">
        <v>0</v>
      </c>
      <c r="N332">
        <v>33272000</v>
      </c>
      <c r="O332" t="b">
        <f t="shared" si="10"/>
        <v>1</v>
      </c>
      <c r="P332">
        <v>166360</v>
      </c>
      <c r="Q332">
        <f t="shared" si="9"/>
        <v>0</v>
      </c>
      <c r="R332">
        <v>1</v>
      </c>
      <c r="S332">
        <v>10</v>
      </c>
      <c r="T332" t="b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166360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</row>
    <row r="333" spans="1:56" x14ac:dyDescent="0.3">
      <c r="A333" t="s">
        <v>108</v>
      </c>
      <c r="B333" t="s">
        <v>64</v>
      </c>
      <c r="C333">
        <v>2082</v>
      </c>
      <c r="D333">
        <v>12</v>
      </c>
      <c r="E333">
        <v>9</v>
      </c>
      <c r="F333" t="s">
        <v>61</v>
      </c>
      <c r="G333">
        <v>255050</v>
      </c>
      <c r="H333">
        <v>0</v>
      </c>
      <c r="I333">
        <v>0</v>
      </c>
      <c r="J333">
        <v>230</v>
      </c>
      <c r="K333" t="s">
        <v>58</v>
      </c>
      <c r="L333" t="s">
        <v>58</v>
      </c>
      <c r="M333" t="b">
        <v>0</v>
      </c>
      <c r="N333">
        <v>58661500</v>
      </c>
      <c r="O333" t="b">
        <f t="shared" si="10"/>
        <v>1</v>
      </c>
      <c r="P333">
        <v>255050</v>
      </c>
      <c r="Q333">
        <f t="shared" si="9"/>
        <v>0</v>
      </c>
      <c r="R333">
        <v>1</v>
      </c>
      <c r="S333">
        <v>10</v>
      </c>
      <c r="T333" t="b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255050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</row>
    <row r="334" spans="1:56" x14ac:dyDescent="0.3">
      <c r="A334" t="s">
        <v>108</v>
      </c>
      <c r="B334" t="s">
        <v>64</v>
      </c>
      <c r="C334">
        <v>2083</v>
      </c>
      <c r="D334">
        <v>1</v>
      </c>
      <c r="E334">
        <v>10</v>
      </c>
      <c r="F334" t="s">
        <v>62</v>
      </c>
      <c r="G334">
        <v>220900</v>
      </c>
      <c r="H334">
        <v>0</v>
      </c>
      <c r="I334">
        <v>0</v>
      </c>
      <c r="J334">
        <v>450</v>
      </c>
      <c r="K334" t="s">
        <v>58</v>
      </c>
      <c r="L334" t="s">
        <v>58</v>
      </c>
      <c r="M334" t="b">
        <v>0</v>
      </c>
      <c r="N334">
        <v>99405000</v>
      </c>
      <c r="O334" t="b">
        <f t="shared" si="10"/>
        <v>1</v>
      </c>
      <c r="P334">
        <v>220900</v>
      </c>
      <c r="Q334">
        <f t="shared" ref="Q334:Q397" si="11">ABS(P334-G334)</f>
        <v>0</v>
      </c>
      <c r="R334">
        <v>1</v>
      </c>
      <c r="S334">
        <v>10</v>
      </c>
      <c r="T334" t="b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2120</v>
      </c>
      <c r="AA334">
        <v>0</v>
      </c>
      <c r="AB334">
        <v>0</v>
      </c>
      <c r="AC334">
        <v>0</v>
      </c>
      <c r="AD334">
        <v>0</v>
      </c>
      <c r="AE334">
        <v>218780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</row>
    <row r="335" spans="1:56" x14ac:dyDescent="0.3">
      <c r="A335" t="s">
        <v>109</v>
      </c>
      <c r="B335" t="s">
        <v>56</v>
      </c>
      <c r="C335">
        <v>2082</v>
      </c>
      <c r="D335">
        <v>5</v>
      </c>
      <c r="E335">
        <v>2</v>
      </c>
      <c r="F335" t="s">
        <v>65</v>
      </c>
      <c r="G335">
        <v>35870</v>
      </c>
      <c r="H335">
        <v>0</v>
      </c>
      <c r="I335">
        <v>200</v>
      </c>
      <c r="J335">
        <v>126.05</v>
      </c>
      <c r="K335" t="s">
        <v>58</v>
      </c>
      <c r="L335" t="s">
        <v>58</v>
      </c>
      <c r="M335" t="b">
        <v>0</v>
      </c>
      <c r="N335">
        <v>4521413.5</v>
      </c>
      <c r="O335" t="b">
        <f t="shared" si="10"/>
        <v>1</v>
      </c>
      <c r="P335">
        <v>35870</v>
      </c>
      <c r="Q335">
        <f t="shared" si="11"/>
        <v>0</v>
      </c>
      <c r="R335">
        <v>0</v>
      </c>
      <c r="S335">
        <v>9</v>
      </c>
      <c r="T335" t="b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120</v>
      </c>
      <c r="AD335">
        <v>0</v>
      </c>
      <c r="AE335">
        <v>0</v>
      </c>
      <c r="AF335">
        <v>0</v>
      </c>
      <c r="AG335">
        <v>2685</v>
      </c>
      <c r="AH335">
        <v>0</v>
      </c>
      <c r="AI335">
        <v>0</v>
      </c>
      <c r="AJ335">
        <v>0</v>
      </c>
      <c r="AK335">
        <v>28050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5015</v>
      </c>
    </row>
    <row r="336" spans="1:56" x14ac:dyDescent="0.3">
      <c r="A336" t="s">
        <v>109</v>
      </c>
      <c r="B336" t="s">
        <v>56</v>
      </c>
      <c r="C336">
        <v>2082</v>
      </c>
      <c r="D336">
        <v>6</v>
      </c>
      <c r="E336">
        <v>3</v>
      </c>
      <c r="F336" t="s">
        <v>66</v>
      </c>
      <c r="G336">
        <v>490</v>
      </c>
      <c r="H336">
        <v>250</v>
      </c>
      <c r="I336">
        <v>300</v>
      </c>
      <c r="J336">
        <v>291.67</v>
      </c>
      <c r="K336" t="s">
        <v>58</v>
      </c>
      <c r="L336" t="s">
        <v>58</v>
      </c>
      <c r="M336" t="b">
        <v>0</v>
      </c>
      <c r="N336">
        <v>142918.29999999999</v>
      </c>
      <c r="O336" t="b">
        <f t="shared" si="10"/>
        <v>1</v>
      </c>
      <c r="P336">
        <v>490</v>
      </c>
      <c r="Q336">
        <f t="shared" si="11"/>
        <v>0</v>
      </c>
      <c r="R336">
        <v>0</v>
      </c>
      <c r="S336">
        <v>9</v>
      </c>
      <c r="T336" t="b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490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</row>
    <row r="337" spans="1:56" x14ac:dyDescent="0.3">
      <c r="A337" t="s">
        <v>109</v>
      </c>
      <c r="B337" t="s">
        <v>56</v>
      </c>
      <c r="C337">
        <v>2082</v>
      </c>
      <c r="D337">
        <v>7</v>
      </c>
      <c r="E337">
        <v>4</v>
      </c>
      <c r="F337" t="s">
        <v>67</v>
      </c>
      <c r="G337">
        <v>48400</v>
      </c>
      <c r="H337">
        <v>200</v>
      </c>
      <c r="I337">
        <v>300</v>
      </c>
      <c r="J337">
        <v>264.74</v>
      </c>
      <c r="K337" t="s">
        <v>58</v>
      </c>
      <c r="L337" t="s">
        <v>58</v>
      </c>
      <c r="M337" t="b">
        <v>0</v>
      </c>
      <c r="N337">
        <v>12813416</v>
      </c>
      <c r="O337" t="b">
        <f t="shared" si="10"/>
        <v>1</v>
      </c>
      <c r="P337">
        <v>48400</v>
      </c>
      <c r="Q337">
        <f t="shared" si="11"/>
        <v>0</v>
      </c>
      <c r="R337">
        <v>0</v>
      </c>
      <c r="S337">
        <v>9</v>
      </c>
      <c r="T337" t="b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5475</v>
      </c>
      <c r="AB337">
        <v>20465</v>
      </c>
      <c r="AC337">
        <v>0</v>
      </c>
      <c r="AD337">
        <v>10390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12070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</row>
    <row r="338" spans="1:56" x14ac:dyDescent="0.3">
      <c r="A338" t="s">
        <v>109</v>
      </c>
      <c r="B338" t="s">
        <v>56</v>
      </c>
      <c r="C338">
        <v>2082</v>
      </c>
      <c r="D338">
        <v>8</v>
      </c>
      <c r="E338">
        <v>5</v>
      </c>
      <c r="F338" t="s">
        <v>68</v>
      </c>
      <c r="G338">
        <v>106400</v>
      </c>
      <c r="H338">
        <v>160</v>
      </c>
      <c r="I338">
        <v>250</v>
      </c>
      <c r="J338">
        <v>184.74</v>
      </c>
      <c r="K338" t="s">
        <v>58</v>
      </c>
      <c r="L338" t="s">
        <v>58</v>
      </c>
      <c r="M338" t="b">
        <v>0</v>
      </c>
      <c r="N338">
        <v>19656336</v>
      </c>
      <c r="O338" t="b">
        <f t="shared" si="10"/>
        <v>1</v>
      </c>
      <c r="P338">
        <v>106400</v>
      </c>
      <c r="Q338">
        <f t="shared" si="11"/>
        <v>0</v>
      </c>
      <c r="R338">
        <v>5.0939849624060098E-2</v>
      </c>
      <c r="S338">
        <v>9</v>
      </c>
      <c r="T338" t="b">
        <v>0</v>
      </c>
      <c r="U338">
        <v>0</v>
      </c>
      <c r="V338">
        <v>0</v>
      </c>
      <c r="W338">
        <v>0</v>
      </c>
      <c r="X338">
        <v>0</v>
      </c>
      <c r="Y338">
        <v>1240</v>
      </c>
      <c r="Z338">
        <v>0</v>
      </c>
      <c r="AA338">
        <v>3380</v>
      </c>
      <c r="AB338">
        <v>38035</v>
      </c>
      <c r="AC338">
        <v>5800</v>
      </c>
      <c r="AD338">
        <v>1120</v>
      </c>
      <c r="AE338">
        <v>5420</v>
      </c>
      <c r="AF338">
        <v>0</v>
      </c>
      <c r="AG338">
        <v>150</v>
      </c>
      <c r="AH338">
        <v>0</v>
      </c>
      <c r="AI338">
        <v>0</v>
      </c>
      <c r="AJ338">
        <v>0</v>
      </c>
      <c r="AK338">
        <v>1390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45735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4130</v>
      </c>
      <c r="BA338">
        <v>0</v>
      </c>
      <c r="BB338">
        <v>0</v>
      </c>
      <c r="BC338">
        <v>0</v>
      </c>
      <c r="BD338">
        <v>0</v>
      </c>
    </row>
    <row r="339" spans="1:56" x14ac:dyDescent="0.3">
      <c r="A339" t="s">
        <v>109</v>
      </c>
      <c r="B339" t="s">
        <v>56</v>
      </c>
      <c r="C339">
        <v>2082</v>
      </c>
      <c r="D339">
        <v>9</v>
      </c>
      <c r="E339">
        <v>6</v>
      </c>
      <c r="F339" t="s">
        <v>57</v>
      </c>
      <c r="G339">
        <v>198183</v>
      </c>
      <c r="H339">
        <v>130</v>
      </c>
      <c r="I339">
        <v>180</v>
      </c>
      <c r="J339">
        <v>152.72999999999999</v>
      </c>
      <c r="K339" t="s">
        <v>58</v>
      </c>
      <c r="L339" t="s">
        <v>58</v>
      </c>
      <c r="M339" t="b">
        <v>0</v>
      </c>
      <c r="N339">
        <v>30268489.589999899</v>
      </c>
      <c r="O339" t="b">
        <f t="shared" si="10"/>
        <v>1</v>
      </c>
      <c r="P339">
        <v>198183</v>
      </c>
      <c r="Q339">
        <f t="shared" si="11"/>
        <v>0</v>
      </c>
      <c r="R339">
        <v>0.18356771266960301</v>
      </c>
      <c r="S339">
        <v>9</v>
      </c>
      <c r="T339" t="b">
        <v>0</v>
      </c>
      <c r="U339">
        <v>0</v>
      </c>
      <c r="V339">
        <v>0</v>
      </c>
      <c r="W339">
        <v>0</v>
      </c>
      <c r="X339">
        <v>0</v>
      </c>
      <c r="Y339">
        <v>10810</v>
      </c>
      <c r="Z339">
        <v>0</v>
      </c>
      <c r="AA339">
        <v>16440</v>
      </c>
      <c r="AB339">
        <v>34465</v>
      </c>
      <c r="AC339">
        <v>13950</v>
      </c>
      <c r="AD339">
        <v>0</v>
      </c>
      <c r="AE339">
        <v>36380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10015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66603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9520</v>
      </c>
      <c r="BA339">
        <v>0</v>
      </c>
      <c r="BB339">
        <v>0</v>
      </c>
      <c r="BC339">
        <v>0</v>
      </c>
      <c r="BD339">
        <v>0</v>
      </c>
    </row>
    <row r="340" spans="1:56" x14ac:dyDescent="0.3">
      <c r="A340" t="s">
        <v>109</v>
      </c>
      <c r="B340" t="s">
        <v>56</v>
      </c>
      <c r="C340">
        <v>2082</v>
      </c>
      <c r="D340">
        <v>10</v>
      </c>
      <c r="E340">
        <v>7</v>
      </c>
      <c r="F340" t="s">
        <v>59</v>
      </c>
      <c r="G340">
        <v>155535</v>
      </c>
      <c r="H340">
        <v>50</v>
      </c>
      <c r="I340">
        <v>140</v>
      </c>
      <c r="J340">
        <v>88.43</v>
      </c>
      <c r="K340" t="s">
        <v>58</v>
      </c>
      <c r="L340" t="s">
        <v>58</v>
      </c>
      <c r="M340" t="b">
        <v>0</v>
      </c>
      <c r="N340">
        <v>13753960.050000001</v>
      </c>
      <c r="O340" t="b">
        <f t="shared" si="10"/>
        <v>1</v>
      </c>
      <c r="P340">
        <v>155535</v>
      </c>
      <c r="Q340">
        <f t="shared" si="11"/>
        <v>0</v>
      </c>
      <c r="R340">
        <v>0.31246986208891803</v>
      </c>
      <c r="S340">
        <v>9</v>
      </c>
      <c r="T340" t="b">
        <v>0</v>
      </c>
      <c r="U340">
        <v>0</v>
      </c>
      <c r="V340">
        <v>0</v>
      </c>
      <c r="W340">
        <v>0</v>
      </c>
      <c r="X340">
        <v>0</v>
      </c>
      <c r="Y340">
        <v>6370</v>
      </c>
      <c r="Z340">
        <v>0</v>
      </c>
      <c r="AA340">
        <v>3890</v>
      </c>
      <c r="AB340">
        <v>19115</v>
      </c>
      <c r="AC340">
        <v>7245</v>
      </c>
      <c r="AD340">
        <v>1140</v>
      </c>
      <c r="AE340">
        <v>48600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12795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48950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5180</v>
      </c>
      <c r="BA340">
        <v>0</v>
      </c>
      <c r="BB340">
        <v>0</v>
      </c>
      <c r="BC340">
        <v>0</v>
      </c>
      <c r="BD340">
        <v>2250</v>
      </c>
    </row>
    <row r="341" spans="1:56" x14ac:dyDescent="0.3">
      <c r="A341" t="s">
        <v>109</v>
      </c>
      <c r="B341" t="s">
        <v>56</v>
      </c>
      <c r="C341">
        <v>2082</v>
      </c>
      <c r="D341">
        <v>11</v>
      </c>
      <c r="E341">
        <v>8</v>
      </c>
      <c r="F341" t="s">
        <v>60</v>
      </c>
      <c r="G341">
        <v>111900</v>
      </c>
      <c r="H341">
        <v>50</v>
      </c>
      <c r="I341">
        <v>100</v>
      </c>
      <c r="J341">
        <v>65.28</v>
      </c>
      <c r="K341" t="s">
        <v>58</v>
      </c>
      <c r="L341" t="s">
        <v>58</v>
      </c>
      <c r="M341" t="b">
        <v>0</v>
      </c>
      <c r="N341">
        <v>7304832</v>
      </c>
      <c r="O341" t="b">
        <f t="shared" si="10"/>
        <v>1</v>
      </c>
      <c r="P341">
        <v>111900</v>
      </c>
      <c r="Q341">
        <f t="shared" si="11"/>
        <v>0</v>
      </c>
      <c r="R341">
        <v>5.3798033958891801E-2</v>
      </c>
      <c r="S341">
        <v>9</v>
      </c>
      <c r="T341" t="b">
        <v>0</v>
      </c>
      <c r="U341">
        <v>0</v>
      </c>
      <c r="V341">
        <v>0</v>
      </c>
      <c r="W341">
        <v>0</v>
      </c>
      <c r="X341">
        <v>0</v>
      </c>
      <c r="Y341">
        <v>6935</v>
      </c>
      <c r="Z341">
        <v>0</v>
      </c>
      <c r="AA341">
        <v>3200</v>
      </c>
      <c r="AB341">
        <v>9495</v>
      </c>
      <c r="AC341">
        <v>4495</v>
      </c>
      <c r="AD341">
        <v>580</v>
      </c>
      <c r="AE341">
        <v>6020</v>
      </c>
      <c r="AF341">
        <v>0</v>
      </c>
      <c r="AG341">
        <v>210</v>
      </c>
      <c r="AH341">
        <v>0</v>
      </c>
      <c r="AI341">
        <v>0</v>
      </c>
      <c r="AJ341">
        <v>0</v>
      </c>
      <c r="AK341">
        <v>27265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46080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1900</v>
      </c>
      <c r="BA341">
        <v>0</v>
      </c>
      <c r="BB341">
        <v>0</v>
      </c>
      <c r="BC341">
        <v>0</v>
      </c>
      <c r="BD341">
        <v>5720</v>
      </c>
    </row>
    <row r="342" spans="1:56" x14ac:dyDescent="0.3">
      <c r="A342" t="s">
        <v>109</v>
      </c>
      <c r="B342" t="s">
        <v>56</v>
      </c>
      <c r="C342">
        <v>2082</v>
      </c>
      <c r="D342">
        <v>12</v>
      </c>
      <c r="E342">
        <v>9</v>
      </c>
      <c r="F342" t="s">
        <v>61</v>
      </c>
      <c r="G342">
        <v>137955</v>
      </c>
      <c r="H342">
        <v>50</v>
      </c>
      <c r="I342">
        <v>130</v>
      </c>
      <c r="J342">
        <v>96.36</v>
      </c>
      <c r="K342" t="s">
        <v>58</v>
      </c>
      <c r="L342" t="s">
        <v>58</v>
      </c>
      <c r="M342" t="b">
        <v>0</v>
      </c>
      <c r="N342">
        <v>13293343.800000001</v>
      </c>
      <c r="O342" t="b">
        <f t="shared" si="10"/>
        <v>1</v>
      </c>
      <c r="P342">
        <v>137955</v>
      </c>
      <c r="Q342">
        <f t="shared" si="11"/>
        <v>0</v>
      </c>
      <c r="R342">
        <v>0</v>
      </c>
      <c r="S342">
        <v>9</v>
      </c>
      <c r="T342" t="b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11350</v>
      </c>
      <c r="AB342">
        <v>29665</v>
      </c>
      <c r="AC342">
        <v>2340</v>
      </c>
      <c r="AD342">
        <v>13255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23425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20995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15220</v>
      </c>
      <c r="BA342">
        <v>0</v>
      </c>
      <c r="BB342">
        <v>18415</v>
      </c>
      <c r="BC342">
        <v>0</v>
      </c>
      <c r="BD342">
        <v>3290</v>
      </c>
    </row>
    <row r="343" spans="1:56" x14ac:dyDescent="0.3">
      <c r="A343" t="s">
        <v>109</v>
      </c>
      <c r="B343" t="s">
        <v>56</v>
      </c>
      <c r="C343">
        <v>2083</v>
      </c>
      <c r="D343">
        <v>1</v>
      </c>
      <c r="E343">
        <v>10</v>
      </c>
      <c r="F343" t="s">
        <v>62</v>
      </c>
      <c r="G343">
        <v>44955</v>
      </c>
      <c r="H343">
        <v>100</v>
      </c>
      <c r="I343">
        <v>130</v>
      </c>
      <c r="J343">
        <v>110.87</v>
      </c>
      <c r="K343" t="s">
        <v>58</v>
      </c>
      <c r="L343" t="s">
        <v>58</v>
      </c>
      <c r="M343" t="b">
        <v>0</v>
      </c>
      <c r="N343">
        <v>4984160.8499999996</v>
      </c>
      <c r="O343" t="b">
        <f t="shared" si="10"/>
        <v>1</v>
      </c>
      <c r="P343">
        <v>44955</v>
      </c>
      <c r="Q343">
        <f t="shared" si="11"/>
        <v>0</v>
      </c>
      <c r="R343">
        <v>0</v>
      </c>
      <c r="S343">
        <v>9</v>
      </c>
      <c r="T343" t="b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350</v>
      </c>
      <c r="AB343">
        <v>0</v>
      </c>
      <c r="AC343">
        <v>0</v>
      </c>
      <c r="AD343">
        <v>40695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1240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2670</v>
      </c>
      <c r="BA343">
        <v>0</v>
      </c>
      <c r="BB343">
        <v>0</v>
      </c>
      <c r="BC343">
        <v>0</v>
      </c>
      <c r="BD343">
        <v>0</v>
      </c>
    </row>
    <row r="344" spans="1:56" x14ac:dyDescent="0.3">
      <c r="A344" t="s">
        <v>110</v>
      </c>
      <c r="B344" t="s">
        <v>56</v>
      </c>
      <c r="C344">
        <v>2082</v>
      </c>
      <c r="D344">
        <v>4</v>
      </c>
      <c r="E344">
        <v>1</v>
      </c>
      <c r="F344" t="s">
        <v>70</v>
      </c>
      <c r="G344">
        <v>56053</v>
      </c>
      <c r="H344">
        <v>0</v>
      </c>
      <c r="I344">
        <v>0</v>
      </c>
      <c r="J344">
        <v>90</v>
      </c>
      <c r="K344" t="s">
        <v>58</v>
      </c>
      <c r="L344" t="s">
        <v>58</v>
      </c>
      <c r="M344" t="b">
        <v>0</v>
      </c>
      <c r="N344">
        <v>5044770</v>
      </c>
      <c r="O344" t="b">
        <f t="shared" si="10"/>
        <v>1</v>
      </c>
      <c r="P344">
        <v>56053</v>
      </c>
      <c r="Q344">
        <f t="shared" si="11"/>
        <v>0</v>
      </c>
      <c r="R344">
        <v>0</v>
      </c>
      <c r="S344">
        <v>9</v>
      </c>
      <c r="T344" t="b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970</v>
      </c>
      <c r="AD344">
        <v>50</v>
      </c>
      <c r="AE344">
        <v>0</v>
      </c>
      <c r="AF344">
        <v>0</v>
      </c>
      <c r="AG344">
        <v>3738</v>
      </c>
      <c r="AH344">
        <v>0</v>
      </c>
      <c r="AI344">
        <v>0</v>
      </c>
      <c r="AJ344">
        <v>0</v>
      </c>
      <c r="AK344">
        <v>43665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7630</v>
      </c>
    </row>
    <row r="345" spans="1:56" x14ac:dyDescent="0.3">
      <c r="A345" t="s">
        <v>110</v>
      </c>
      <c r="B345" t="s">
        <v>56</v>
      </c>
      <c r="C345">
        <v>2082</v>
      </c>
      <c r="D345">
        <v>6</v>
      </c>
      <c r="E345">
        <v>3</v>
      </c>
      <c r="F345" t="s">
        <v>66</v>
      </c>
      <c r="G345">
        <v>28090</v>
      </c>
      <c r="H345">
        <v>0</v>
      </c>
      <c r="I345">
        <v>0</v>
      </c>
      <c r="J345">
        <v>155</v>
      </c>
      <c r="K345" t="s">
        <v>58</v>
      </c>
      <c r="L345" t="s">
        <v>58</v>
      </c>
      <c r="M345" t="b">
        <v>0</v>
      </c>
      <c r="N345">
        <v>4353950</v>
      </c>
      <c r="O345" t="b">
        <f t="shared" si="10"/>
        <v>1</v>
      </c>
      <c r="P345">
        <v>28090</v>
      </c>
      <c r="Q345">
        <f t="shared" si="11"/>
        <v>0</v>
      </c>
      <c r="R345">
        <v>0</v>
      </c>
      <c r="S345">
        <v>9</v>
      </c>
      <c r="T345" t="b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330</v>
      </c>
      <c r="AD345">
        <v>0</v>
      </c>
      <c r="AE345">
        <v>0</v>
      </c>
      <c r="AF345">
        <v>0</v>
      </c>
      <c r="AG345">
        <v>2600</v>
      </c>
      <c r="AH345">
        <v>0</v>
      </c>
      <c r="AI345">
        <v>0</v>
      </c>
      <c r="AJ345">
        <v>0</v>
      </c>
      <c r="AK345">
        <v>23790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1370</v>
      </c>
    </row>
    <row r="346" spans="1:56" x14ac:dyDescent="0.3">
      <c r="A346" t="s">
        <v>110</v>
      </c>
      <c r="B346" t="s">
        <v>56</v>
      </c>
      <c r="C346">
        <v>2082</v>
      </c>
      <c r="D346">
        <v>7</v>
      </c>
      <c r="E346">
        <v>4</v>
      </c>
      <c r="F346" t="s">
        <v>67</v>
      </c>
      <c r="G346">
        <v>28645</v>
      </c>
      <c r="J346">
        <v>91.5</v>
      </c>
      <c r="K346" t="s">
        <v>58</v>
      </c>
      <c r="L346" t="s">
        <v>58</v>
      </c>
      <c r="M346" t="b">
        <v>0</v>
      </c>
      <c r="N346">
        <v>2621017.5</v>
      </c>
      <c r="O346" t="b">
        <f t="shared" si="10"/>
        <v>1</v>
      </c>
      <c r="P346">
        <v>28645</v>
      </c>
      <c r="Q346">
        <f t="shared" si="11"/>
        <v>0</v>
      </c>
      <c r="R346">
        <v>0</v>
      </c>
      <c r="S346">
        <v>9</v>
      </c>
      <c r="T346" t="b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150</v>
      </c>
      <c r="AD346">
        <v>0</v>
      </c>
      <c r="AE346">
        <v>0</v>
      </c>
      <c r="AF346">
        <v>0</v>
      </c>
      <c r="AG346">
        <v>2610</v>
      </c>
      <c r="AH346">
        <v>0</v>
      </c>
      <c r="AI346">
        <v>0</v>
      </c>
      <c r="AJ346">
        <v>0</v>
      </c>
      <c r="AK346">
        <v>25885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</row>
    <row r="347" spans="1:56" x14ac:dyDescent="0.3">
      <c r="A347" t="s">
        <v>110</v>
      </c>
      <c r="B347" t="s">
        <v>56</v>
      </c>
      <c r="C347">
        <v>2082</v>
      </c>
      <c r="D347">
        <v>8</v>
      </c>
      <c r="E347">
        <v>5</v>
      </c>
      <c r="F347" t="s">
        <v>68</v>
      </c>
      <c r="G347">
        <v>32200</v>
      </c>
      <c r="H347">
        <v>0</v>
      </c>
      <c r="I347">
        <v>0</v>
      </c>
      <c r="J347">
        <v>109</v>
      </c>
      <c r="K347" t="s">
        <v>58</v>
      </c>
      <c r="L347" t="s">
        <v>58</v>
      </c>
      <c r="M347" t="b">
        <v>0</v>
      </c>
      <c r="N347">
        <v>3509800</v>
      </c>
      <c r="O347" t="b">
        <f t="shared" si="10"/>
        <v>1</v>
      </c>
      <c r="P347">
        <v>32200</v>
      </c>
      <c r="Q347">
        <f t="shared" si="11"/>
        <v>0</v>
      </c>
      <c r="R347">
        <v>0</v>
      </c>
      <c r="S347">
        <v>9</v>
      </c>
      <c r="T347" t="b">
        <v>0</v>
      </c>
      <c r="U347">
        <v>0</v>
      </c>
      <c r="V347">
        <v>0</v>
      </c>
      <c r="W347">
        <v>0</v>
      </c>
      <c r="X347">
        <v>0</v>
      </c>
      <c r="Y347">
        <v>1830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3050</v>
      </c>
      <c r="AH347">
        <v>0</v>
      </c>
      <c r="AI347">
        <v>0</v>
      </c>
      <c r="AJ347">
        <v>0</v>
      </c>
      <c r="AK347">
        <v>26670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650</v>
      </c>
      <c r="BA347">
        <v>0</v>
      </c>
      <c r="BB347">
        <v>0</v>
      </c>
      <c r="BC347">
        <v>0</v>
      </c>
      <c r="BD347">
        <v>0</v>
      </c>
    </row>
    <row r="348" spans="1:56" x14ac:dyDescent="0.3">
      <c r="A348" t="s">
        <v>110</v>
      </c>
      <c r="B348" t="s">
        <v>56</v>
      </c>
      <c r="C348">
        <v>2082</v>
      </c>
      <c r="D348">
        <v>9</v>
      </c>
      <c r="E348">
        <v>6</v>
      </c>
      <c r="F348" t="s">
        <v>57</v>
      </c>
      <c r="G348">
        <v>37315</v>
      </c>
      <c r="H348">
        <v>0</v>
      </c>
      <c r="I348">
        <v>0</v>
      </c>
      <c r="J348">
        <v>65.33</v>
      </c>
      <c r="K348" t="s">
        <v>58</v>
      </c>
      <c r="L348" t="s">
        <v>58</v>
      </c>
      <c r="M348" t="b">
        <v>0</v>
      </c>
      <c r="N348">
        <v>2437788.9499999899</v>
      </c>
      <c r="O348" t="b">
        <f t="shared" si="10"/>
        <v>1</v>
      </c>
      <c r="P348">
        <v>37315</v>
      </c>
      <c r="Q348">
        <f t="shared" si="11"/>
        <v>0</v>
      </c>
      <c r="R348">
        <v>0</v>
      </c>
      <c r="S348">
        <v>9</v>
      </c>
      <c r="T348" t="b">
        <v>0</v>
      </c>
      <c r="U348">
        <v>0</v>
      </c>
      <c r="V348">
        <v>0</v>
      </c>
      <c r="W348">
        <v>0</v>
      </c>
      <c r="X348">
        <v>0</v>
      </c>
      <c r="Y348">
        <v>4640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3980</v>
      </c>
      <c r="AH348">
        <v>0</v>
      </c>
      <c r="AI348">
        <v>0</v>
      </c>
      <c r="AJ348">
        <v>0</v>
      </c>
      <c r="AK348">
        <v>25105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3590</v>
      </c>
      <c r="BA348">
        <v>0</v>
      </c>
      <c r="BB348">
        <v>0</v>
      </c>
      <c r="BC348">
        <v>0</v>
      </c>
      <c r="BD348">
        <v>0</v>
      </c>
    </row>
    <row r="349" spans="1:56" x14ac:dyDescent="0.3">
      <c r="A349" t="s">
        <v>110</v>
      </c>
      <c r="B349" t="s">
        <v>56</v>
      </c>
      <c r="C349">
        <v>2082</v>
      </c>
      <c r="D349">
        <v>10</v>
      </c>
      <c r="E349">
        <v>7</v>
      </c>
      <c r="F349" t="s">
        <v>59</v>
      </c>
      <c r="G349">
        <v>26415</v>
      </c>
      <c r="H349">
        <v>0</v>
      </c>
      <c r="I349">
        <v>0</v>
      </c>
      <c r="J349">
        <v>48.95</v>
      </c>
      <c r="K349" t="s">
        <v>58</v>
      </c>
      <c r="L349" t="s">
        <v>58</v>
      </c>
      <c r="M349" t="b">
        <v>0</v>
      </c>
      <c r="N349">
        <v>1293014.25</v>
      </c>
      <c r="O349" t="b">
        <f t="shared" si="10"/>
        <v>1</v>
      </c>
      <c r="P349">
        <v>26415</v>
      </c>
      <c r="Q349">
        <f t="shared" si="11"/>
        <v>0</v>
      </c>
      <c r="R349">
        <v>0</v>
      </c>
      <c r="S349">
        <v>9</v>
      </c>
      <c r="T349" t="b">
        <v>0</v>
      </c>
      <c r="U349">
        <v>0</v>
      </c>
      <c r="V349">
        <v>0</v>
      </c>
      <c r="W349">
        <v>0</v>
      </c>
      <c r="X349">
        <v>0</v>
      </c>
      <c r="Y349">
        <v>1490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2420</v>
      </c>
      <c r="AH349">
        <v>0</v>
      </c>
      <c r="AI349">
        <v>0</v>
      </c>
      <c r="AJ349">
        <v>0</v>
      </c>
      <c r="AK349">
        <v>17985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2810</v>
      </c>
      <c r="BA349">
        <v>0</v>
      </c>
      <c r="BB349">
        <v>0</v>
      </c>
      <c r="BC349">
        <v>0</v>
      </c>
      <c r="BD349">
        <v>1710</v>
      </c>
    </row>
    <row r="350" spans="1:56" x14ac:dyDescent="0.3">
      <c r="A350" t="s">
        <v>110</v>
      </c>
      <c r="B350" t="s">
        <v>56</v>
      </c>
      <c r="C350">
        <v>2082</v>
      </c>
      <c r="D350">
        <v>11</v>
      </c>
      <c r="E350">
        <v>8</v>
      </c>
      <c r="F350" t="s">
        <v>60</v>
      </c>
      <c r="G350">
        <v>23135</v>
      </c>
      <c r="H350">
        <v>0</v>
      </c>
      <c r="I350">
        <v>0</v>
      </c>
      <c r="J350">
        <v>40.56</v>
      </c>
      <c r="K350" t="s">
        <v>58</v>
      </c>
      <c r="L350" t="s">
        <v>58</v>
      </c>
      <c r="M350" t="b">
        <v>0</v>
      </c>
      <c r="N350">
        <v>938355.6</v>
      </c>
      <c r="O350" t="b">
        <f t="shared" si="10"/>
        <v>1</v>
      </c>
      <c r="P350">
        <v>23135</v>
      </c>
      <c r="Q350">
        <f t="shared" si="11"/>
        <v>0</v>
      </c>
      <c r="R350">
        <v>0</v>
      </c>
      <c r="S350">
        <v>9</v>
      </c>
      <c r="T350" t="b">
        <v>0</v>
      </c>
      <c r="U350">
        <v>0</v>
      </c>
      <c r="V350">
        <v>0</v>
      </c>
      <c r="W350">
        <v>0</v>
      </c>
      <c r="X350">
        <v>0</v>
      </c>
      <c r="Y350">
        <v>530</v>
      </c>
      <c r="Z350">
        <v>0</v>
      </c>
      <c r="AA350">
        <v>0</v>
      </c>
      <c r="AB350">
        <v>0</v>
      </c>
      <c r="AC350">
        <v>150</v>
      </c>
      <c r="AD350">
        <v>0</v>
      </c>
      <c r="AE350">
        <v>0</v>
      </c>
      <c r="AF350">
        <v>0</v>
      </c>
      <c r="AG350">
        <v>2320</v>
      </c>
      <c r="AH350">
        <v>0</v>
      </c>
      <c r="AI350">
        <v>0</v>
      </c>
      <c r="AJ350">
        <v>0</v>
      </c>
      <c r="AK350">
        <v>15515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3630</v>
      </c>
      <c r="BA350">
        <v>0</v>
      </c>
      <c r="BB350">
        <v>0</v>
      </c>
      <c r="BC350">
        <v>0</v>
      </c>
      <c r="BD350">
        <v>990</v>
      </c>
    </row>
    <row r="351" spans="1:56" x14ac:dyDescent="0.3">
      <c r="A351" t="s">
        <v>110</v>
      </c>
      <c r="B351" t="s">
        <v>56</v>
      </c>
      <c r="C351">
        <v>2082</v>
      </c>
      <c r="D351">
        <v>12</v>
      </c>
      <c r="E351">
        <v>9</v>
      </c>
      <c r="F351" t="s">
        <v>61</v>
      </c>
      <c r="G351">
        <v>45558</v>
      </c>
      <c r="H351">
        <v>0</v>
      </c>
      <c r="I351">
        <v>0</v>
      </c>
      <c r="J351">
        <v>47.5</v>
      </c>
      <c r="K351" t="s">
        <v>58</v>
      </c>
      <c r="L351" t="s">
        <v>58</v>
      </c>
      <c r="M351" t="b">
        <v>0</v>
      </c>
      <c r="N351">
        <v>2164005</v>
      </c>
      <c r="O351" t="b">
        <f t="shared" si="10"/>
        <v>1</v>
      </c>
      <c r="P351">
        <v>45558</v>
      </c>
      <c r="Q351">
        <f t="shared" si="11"/>
        <v>0</v>
      </c>
      <c r="R351">
        <v>0</v>
      </c>
      <c r="S351">
        <v>9</v>
      </c>
      <c r="T351" t="b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540</v>
      </c>
      <c r="AD351">
        <v>0</v>
      </c>
      <c r="AE351">
        <v>0</v>
      </c>
      <c r="AF351">
        <v>0</v>
      </c>
      <c r="AG351">
        <v>3584</v>
      </c>
      <c r="AH351">
        <v>0</v>
      </c>
      <c r="AI351">
        <v>0</v>
      </c>
      <c r="AJ351">
        <v>0</v>
      </c>
      <c r="AK351">
        <v>32510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3384</v>
      </c>
      <c r="BA351">
        <v>0</v>
      </c>
      <c r="BB351">
        <v>0</v>
      </c>
      <c r="BC351">
        <v>0</v>
      </c>
      <c r="BD351">
        <v>5540</v>
      </c>
    </row>
    <row r="352" spans="1:56" x14ac:dyDescent="0.3">
      <c r="A352" t="s">
        <v>110</v>
      </c>
      <c r="B352" t="s">
        <v>56</v>
      </c>
      <c r="C352">
        <v>2083</v>
      </c>
      <c r="D352">
        <v>1</v>
      </c>
      <c r="E352">
        <v>10</v>
      </c>
      <c r="F352" t="s">
        <v>62</v>
      </c>
      <c r="G352">
        <v>46000</v>
      </c>
      <c r="H352">
        <v>0</v>
      </c>
      <c r="I352">
        <v>0</v>
      </c>
      <c r="J352">
        <v>52.55</v>
      </c>
      <c r="K352" t="s">
        <v>58</v>
      </c>
      <c r="L352" t="s">
        <v>58</v>
      </c>
      <c r="M352" t="b">
        <v>0</v>
      </c>
      <c r="N352">
        <v>2417300</v>
      </c>
      <c r="O352" t="b">
        <f t="shared" si="10"/>
        <v>1</v>
      </c>
      <c r="P352">
        <v>46000</v>
      </c>
      <c r="Q352">
        <f t="shared" si="11"/>
        <v>0</v>
      </c>
      <c r="R352">
        <v>0</v>
      </c>
      <c r="S352">
        <v>9</v>
      </c>
      <c r="T352" t="b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4610</v>
      </c>
      <c r="AD352">
        <v>0</v>
      </c>
      <c r="AE352">
        <v>0</v>
      </c>
      <c r="AF352">
        <v>0</v>
      </c>
      <c r="AG352">
        <v>2975</v>
      </c>
      <c r="AH352">
        <v>0</v>
      </c>
      <c r="AI352">
        <v>0</v>
      </c>
      <c r="AJ352">
        <v>0</v>
      </c>
      <c r="AK352">
        <v>24490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13925</v>
      </c>
    </row>
    <row r="353" spans="1:56" x14ac:dyDescent="0.3">
      <c r="A353" t="s">
        <v>111</v>
      </c>
      <c r="B353" t="s">
        <v>64</v>
      </c>
      <c r="C353">
        <v>2082</v>
      </c>
      <c r="D353">
        <v>4</v>
      </c>
      <c r="E353">
        <v>1</v>
      </c>
      <c r="F353" t="s">
        <v>70</v>
      </c>
      <c r="G353">
        <v>9890</v>
      </c>
      <c r="H353">
        <v>200</v>
      </c>
      <c r="I353">
        <v>250</v>
      </c>
      <c r="J353">
        <v>205.2</v>
      </c>
      <c r="K353" t="s">
        <v>58</v>
      </c>
      <c r="L353" t="s">
        <v>58</v>
      </c>
      <c r="M353" t="b">
        <v>0</v>
      </c>
      <c r="N353">
        <v>2029428</v>
      </c>
      <c r="O353" t="b">
        <f t="shared" si="10"/>
        <v>1</v>
      </c>
      <c r="P353">
        <v>9890</v>
      </c>
      <c r="Q353">
        <f t="shared" si="11"/>
        <v>0</v>
      </c>
      <c r="R353">
        <v>0.987866531850353</v>
      </c>
      <c r="S353">
        <v>10</v>
      </c>
      <c r="T353" t="b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9770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120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</row>
    <row r="354" spans="1:56" x14ac:dyDescent="0.3">
      <c r="A354" t="s">
        <v>111</v>
      </c>
      <c r="B354" t="s">
        <v>64</v>
      </c>
      <c r="C354">
        <v>2082</v>
      </c>
      <c r="D354">
        <v>5</v>
      </c>
      <c r="E354">
        <v>2</v>
      </c>
      <c r="F354" t="s">
        <v>65</v>
      </c>
      <c r="G354">
        <v>37098</v>
      </c>
      <c r="H354">
        <v>200</v>
      </c>
      <c r="I354">
        <v>250</v>
      </c>
      <c r="J354">
        <v>201.73</v>
      </c>
      <c r="K354" t="s">
        <v>58</v>
      </c>
      <c r="L354" t="s">
        <v>58</v>
      </c>
      <c r="M354" t="b">
        <v>0</v>
      </c>
      <c r="N354">
        <v>7483779.54</v>
      </c>
      <c r="O354" t="b">
        <f t="shared" si="10"/>
        <v>1</v>
      </c>
      <c r="P354">
        <v>37098</v>
      </c>
      <c r="Q354">
        <f t="shared" si="11"/>
        <v>0</v>
      </c>
      <c r="R354">
        <v>0.85907596096824601</v>
      </c>
      <c r="S354">
        <v>10</v>
      </c>
      <c r="T354" t="b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3420</v>
      </c>
      <c r="AC354">
        <v>150</v>
      </c>
      <c r="AD354">
        <v>0</v>
      </c>
      <c r="AE354">
        <v>31870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58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210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1390</v>
      </c>
    </row>
    <row r="355" spans="1:56" x14ac:dyDescent="0.3">
      <c r="A355" t="s">
        <v>111</v>
      </c>
      <c r="B355" t="s">
        <v>64</v>
      </c>
      <c r="C355">
        <v>2082</v>
      </c>
      <c r="D355">
        <v>6</v>
      </c>
      <c r="E355">
        <v>3</v>
      </c>
      <c r="F355" t="s">
        <v>66</v>
      </c>
      <c r="G355">
        <v>26999</v>
      </c>
      <c r="H355">
        <v>180</v>
      </c>
      <c r="I355">
        <v>200</v>
      </c>
      <c r="J355">
        <v>190</v>
      </c>
      <c r="K355" t="s">
        <v>58</v>
      </c>
      <c r="L355" t="s">
        <v>58</v>
      </c>
      <c r="M355" t="b">
        <v>0</v>
      </c>
      <c r="N355">
        <v>5129810</v>
      </c>
      <c r="O355" t="b">
        <f t="shared" si="10"/>
        <v>1</v>
      </c>
      <c r="P355">
        <v>26999</v>
      </c>
      <c r="Q355">
        <f t="shared" si="11"/>
        <v>0</v>
      </c>
      <c r="R355">
        <v>0.62798622171191498</v>
      </c>
      <c r="S355">
        <v>10</v>
      </c>
      <c r="T355" t="b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4090</v>
      </c>
      <c r="AC355">
        <v>210</v>
      </c>
      <c r="AD355">
        <v>2300</v>
      </c>
      <c r="AE355">
        <v>16955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984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2250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210</v>
      </c>
    </row>
    <row r="356" spans="1:56" x14ac:dyDescent="0.3">
      <c r="A356" t="s">
        <v>111</v>
      </c>
      <c r="B356" t="s">
        <v>64</v>
      </c>
      <c r="C356">
        <v>2082</v>
      </c>
      <c r="D356">
        <v>7</v>
      </c>
      <c r="E356">
        <v>4</v>
      </c>
      <c r="F356" t="s">
        <v>67</v>
      </c>
      <c r="G356">
        <v>28095</v>
      </c>
      <c r="H356">
        <v>180</v>
      </c>
      <c r="I356">
        <v>200</v>
      </c>
      <c r="J356">
        <v>190</v>
      </c>
      <c r="K356" t="s">
        <v>58</v>
      </c>
      <c r="L356" t="s">
        <v>58</v>
      </c>
      <c r="M356" t="b">
        <v>0</v>
      </c>
      <c r="N356">
        <v>5338050</v>
      </c>
      <c r="O356" t="b">
        <f t="shared" si="10"/>
        <v>1</v>
      </c>
      <c r="P356">
        <v>28095</v>
      </c>
      <c r="Q356">
        <f t="shared" si="11"/>
        <v>0</v>
      </c>
      <c r="R356">
        <v>0.96173696387257501</v>
      </c>
      <c r="S356">
        <v>10</v>
      </c>
      <c r="T356" t="b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780</v>
      </c>
      <c r="AC356">
        <v>0</v>
      </c>
      <c r="AD356">
        <v>0</v>
      </c>
      <c r="AE356">
        <v>27020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85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210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</row>
    <row r="357" spans="1:56" x14ac:dyDescent="0.3">
      <c r="A357" t="s">
        <v>111</v>
      </c>
      <c r="B357" t="s">
        <v>64</v>
      </c>
      <c r="C357">
        <v>2082</v>
      </c>
      <c r="D357">
        <v>8</v>
      </c>
      <c r="E357">
        <v>5</v>
      </c>
      <c r="F357" t="s">
        <v>68</v>
      </c>
      <c r="G357">
        <v>39130</v>
      </c>
      <c r="H357">
        <v>100</v>
      </c>
      <c r="I357">
        <v>200</v>
      </c>
      <c r="J357">
        <v>131.05000000000001</v>
      </c>
      <c r="K357" t="s">
        <v>58</v>
      </c>
      <c r="L357" t="s">
        <v>58</v>
      </c>
      <c r="M357" t="b">
        <v>0</v>
      </c>
      <c r="N357">
        <v>5127986.5</v>
      </c>
      <c r="O357" t="b">
        <f t="shared" si="10"/>
        <v>1</v>
      </c>
      <c r="P357">
        <v>39130</v>
      </c>
      <c r="Q357">
        <f t="shared" si="11"/>
        <v>0</v>
      </c>
      <c r="R357">
        <v>1</v>
      </c>
      <c r="S357">
        <v>10</v>
      </c>
      <c r="T357" t="b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39130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</row>
    <row r="358" spans="1:56" x14ac:dyDescent="0.3">
      <c r="A358" t="s">
        <v>111</v>
      </c>
      <c r="B358" t="s">
        <v>64</v>
      </c>
      <c r="C358">
        <v>2082</v>
      </c>
      <c r="D358">
        <v>9</v>
      </c>
      <c r="E358">
        <v>6</v>
      </c>
      <c r="F358" t="s">
        <v>57</v>
      </c>
      <c r="G358">
        <v>90555</v>
      </c>
      <c r="H358">
        <v>100</v>
      </c>
      <c r="I358">
        <v>120</v>
      </c>
      <c r="J358">
        <v>110</v>
      </c>
      <c r="K358" t="s">
        <v>58</v>
      </c>
      <c r="L358" t="s">
        <v>58</v>
      </c>
      <c r="M358" t="b">
        <v>0</v>
      </c>
      <c r="N358">
        <v>9961050</v>
      </c>
      <c r="O358" t="b">
        <f t="shared" si="10"/>
        <v>1</v>
      </c>
      <c r="P358">
        <v>90555</v>
      </c>
      <c r="Q358">
        <f t="shared" si="11"/>
        <v>0</v>
      </c>
      <c r="R358">
        <v>0.96046601512892704</v>
      </c>
      <c r="S358">
        <v>10</v>
      </c>
      <c r="T358" t="b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86975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3580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</row>
    <row r="359" spans="1:56" x14ac:dyDescent="0.3">
      <c r="A359" t="s">
        <v>111</v>
      </c>
      <c r="B359" t="s">
        <v>64</v>
      </c>
      <c r="C359">
        <v>2082</v>
      </c>
      <c r="D359">
        <v>10</v>
      </c>
      <c r="E359">
        <v>7</v>
      </c>
      <c r="F359" t="s">
        <v>59</v>
      </c>
      <c r="G359">
        <v>37940</v>
      </c>
      <c r="H359">
        <v>100</v>
      </c>
      <c r="I359">
        <v>120</v>
      </c>
      <c r="J359">
        <v>110</v>
      </c>
      <c r="K359" t="s">
        <v>58</v>
      </c>
      <c r="L359" t="s">
        <v>58</v>
      </c>
      <c r="M359" t="b">
        <v>0</v>
      </c>
      <c r="N359">
        <v>4173400</v>
      </c>
      <c r="O359" t="b">
        <f t="shared" si="10"/>
        <v>1</v>
      </c>
      <c r="P359">
        <v>37940</v>
      </c>
      <c r="Q359">
        <f t="shared" si="11"/>
        <v>0</v>
      </c>
      <c r="R359">
        <v>1</v>
      </c>
      <c r="S359">
        <v>10</v>
      </c>
      <c r="T359" t="b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37940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</row>
    <row r="360" spans="1:56" x14ac:dyDescent="0.3">
      <c r="A360" t="s">
        <v>111</v>
      </c>
      <c r="B360" t="s">
        <v>64</v>
      </c>
      <c r="C360">
        <v>2082</v>
      </c>
      <c r="D360">
        <v>11</v>
      </c>
      <c r="E360">
        <v>8</v>
      </c>
      <c r="F360" t="s">
        <v>60</v>
      </c>
      <c r="G360">
        <v>20205</v>
      </c>
      <c r="H360">
        <v>100</v>
      </c>
      <c r="I360">
        <v>120</v>
      </c>
      <c r="J360">
        <v>110</v>
      </c>
      <c r="K360" t="s">
        <v>58</v>
      </c>
      <c r="L360" t="s">
        <v>58</v>
      </c>
      <c r="M360" t="b">
        <v>0</v>
      </c>
      <c r="N360">
        <v>2222550</v>
      </c>
      <c r="O360" t="b">
        <f t="shared" si="10"/>
        <v>1</v>
      </c>
      <c r="P360">
        <v>20205</v>
      </c>
      <c r="Q360">
        <f t="shared" si="11"/>
        <v>0</v>
      </c>
      <c r="R360">
        <v>1</v>
      </c>
      <c r="S360">
        <v>10</v>
      </c>
      <c r="T360" t="b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20205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</row>
    <row r="361" spans="1:56" x14ac:dyDescent="0.3">
      <c r="A361" t="s">
        <v>111</v>
      </c>
      <c r="B361" t="s">
        <v>64</v>
      </c>
      <c r="C361">
        <v>2082</v>
      </c>
      <c r="D361">
        <v>12</v>
      </c>
      <c r="E361">
        <v>9</v>
      </c>
      <c r="F361" t="s">
        <v>61</v>
      </c>
      <c r="G361">
        <v>15970</v>
      </c>
      <c r="H361">
        <v>100</v>
      </c>
      <c r="I361">
        <v>200</v>
      </c>
      <c r="J361">
        <v>163.18</v>
      </c>
      <c r="K361" t="s">
        <v>58</v>
      </c>
      <c r="L361" t="s">
        <v>58</v>
      </c>
      <c r="M361" t="b">
        <v>0</v>
      </c>
      <c r="N361">
        <v>2605984.6</v>
      </c>
      <c r="O361" t="b">
        <f t="shared" si="10"/>
        <v>1</v>
      </c>
      <c r="P361">
        <v>15970</v>
      </c>
      <c r="Q361">
        <f t="shared" si="11"/>
        <v>0</v>
      </c>
      <c r="R361">
        <v>1</v>
      </c>
      <c r="S361">
        <v>10</v>
      </c>
      <c r="T361" t="b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15970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</row>
    <row r="362" spans="1:56" x14ac:dyDescent="0.3">
      <c r="A362" t="s">
        <v>111</v>
      </c>
      <c r="B362" t="s">
        <v>64</v>
      </c>
      <c r="C362">
        <v>2083</v>
      </c>
      <c r="D362">
        <v>1</v>
      </c>
      <c r="E362">
        <v>10</v>
      </c>
      <c r="F362" t="s">
        <v>62</v>
      </c>
      <c r="G362">
        <v>0</v>
      </c>
      <c r="H362">
        <v>150</v>
      </c>
      <c r="I362">
        <v>200</v>
      </c>
      <c r="J362">
        <v>180.22</v>
      </c>
      <c r="K362" t="s">
        <v>58</v>
      </c>
      <c r="L362" t="s">
        <v>58</v>
      </c>
      <c r="M362" t="b">
        <v>0</v>
      </c>
      <c r="N362">
        <v>0</v>
      </c>
      <c r="O362" t="b">
        <f t="shared" si="10"/>
        <v>1</v>
      </c>
      <c r="P362">
        <v>0</v>
      </c>
      <c r="Q362">
        <f t="shared" si="11"/>
        <v>0</v>
      </c>
      <c r="S362">
        <v>10</v>
      </c>
      <c r="T362" t="b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</row>
    <row r="363" spans="1:56" x14ac:dyDescent="0.3">
      <c r="A363" t="s">
        <v>112</v>
      </c>
      <c r="B363" t="s">
        <v>56</v>
      </c>
      <c r="C363">
        <v>2082</v>
      </c>
      <c r="D363">
        <v>5</v>
      </c>
      <c r="E363">
        <v>2</v>
      </c>
      <c r="F363" t="s">
        <v>65</v>
      </c>
      <c r="G363">
        <v>120</v>
      </c>
      <c r="H363">
        <v>0</v>
      </c>
      <c r="I363">
        <v>0</v>
      </c>
      <c r="J363">
        <v>300</v>
      </c>
      <c r="K363" t="s">
        <v>58</v>
      </c>
      <c r="L363" t="s">
        <v>58</v>
      </c>
      <c r="M363" t="b">
        <v>0</v>
      </c>
      <c r="N363">
        <v>36000</v>
      </c>
      <c r="O363" t="b">
        <f t="shared" si="10"/>
        <v>1</v>
      </c>
      <c r="P363">
        <v>120</v>
      </c>
      <c r="Q363">
        <f t="shared" si="11"/>
        <v>0</v>
      </c>
      <c r="R363">
        <v>0</v>
      </c>
      <c r="S363">
        <v>3</v>
      </c>
      <c r="T363" t="b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120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</row>
    <row r="364" spans="1:56" x14ac:dyDescent="0.3">
      <c r="A364" t="s">
        <v>112</v>
      </c>
      <c r="B364" t="s">
        <v>56</v>
      </c>
      <c r="C364">
        <v>2082</v>
      </c>
      <c r="D364">
        <v>7</v>
      </c>
      <c r="E364">
        <v>4</v>
      </c>
      <c r="F364" t="s">
        <v>67</v>
      </c>
      <c r="G364">
        <v>40</v>
      </c>
      <c r="H364">
        <v>300</v>
      </c>
      <c r="I364">
        <v>400</v>
      </c>
      <c r="J364">
        <v>302.63</v>
      </c>
      <c r="K364" t="s">
        <v>58</v>
      </c>
      <c r="L364" t="s">
        <v>58</v>
      </c>
      <c r="M364" t="b">
        <v>0</v>
      </c>
      <c r="N364">
        <v>12105.2</v>
      </c>
      <c r="O364" t="b">
        <f t="shared" si="10"/>
        <v>1</v>
      </c>
      <c r="P364">
        <v>40</v>
      </c>
      <c r="Q364">
        <f t="shared" si="11"/>
        <v>0</v>
      </c>
      <c r="R364">
        <v>0</v>
      </c>
      <c r="S364">
        <v>3</v>
      </c>
      <c r="T364" t="b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40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</row>
    <row r="365" spans="1:56" x14ac:dyDescent="0.3">
      <c r="A365" t="s">
        <v>112</v>
      </c>
      <c r="B365" t="s">
        <v>56</v>
      </c>
      <c r="C365">
        <v>2082</v>
      </c>
      <c r="D365">
        <v>8</v>
      </c>
      <c r="E365">
        <v>5</v>
      </c>
      <c r="F365" t="s">
        <v>68</v>
      </c>
      <c r="G365">
        <v>180</v>
      </c>
      <c r="H365">
        <v>300</v>
      </c>
      <c r="I365">
        <v>300</v>
      </c>
      <c r="J365">
        <v>300</v>
      </c>
      <c r="K365" t="s">
        <v>58</v>
      </c>
      <c r="L365" t="s">
        <v>58</v>
      </c>
      <c r="M365" t="b">
        <v>0</v>
      </c>
      <c r="N365">
        <v>54000</v>
      </c>
      <c r="O365" t="b">
        <f t="shared" si="10"/>
        <v>1</v>
      </c>
      <c r="P365">
        <v>180</v>
      </c>
      <c r="Q365">
        <f t="shared" si="11"/>
        <v>0</v>
      </c>
      <c r="R365">
        <v>0</v>
      </c>
      <c r="S365">
        <v>3</v>
      </c>
      <c r="T365" t="b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180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</row>
    <row r="366" spans="1:56" x14ac:dyDescent="0.3">
      <c r="A366" t="s">
        <v>112</v>
      </c>
      <c r="B366" t="s">
        <v>56</v>
      </c>
      <c r="C366">
        <v>2082</v>
      </c>
      <c r="D366">
        <v>6</v>
      </c>
      <c r="E366">
        <v>3</v>
      </c>
      <c r="F366" t="s">
        <v>66</v>
      </c>
      <c r="G366">
        <v>40</v>
      </c>
      <c r="H366">
        <v>300</v>
      </c>
      <c r="I366">
        <v>400</v>
      </c>
      <c r="J366">
        <v>350</v>
      </c>
      <c r="K366" t="s">
        <v>58</v>
      </c>
      <c r="L366" t="s">
        <v>58</v>
      </c>
      <c r="M366" t="b">
        <v>0</v>
      </c>
      <c r="N366">
        <v>14000</v>
      </c>
      <c r="O366" t="b">
        <f t="shared" si="10"/>
        <v>1</v>
      </c>
      <c r="P366">
        <v>40</v>
      </c>
      <c r="Q366">
        <f t="shared" si="11"/>
        <v>0</v>
      </c>
      <c r="R366">
        <v>0</v>
      </c>
      <c r="S366">
        <v>6</v>
      </c>
      <c r="T366" t="b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40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</row>
    <row r="367" spans="1:56" x14ac:dyDescent="0.3">
      <c r="A367" t="s">
        <v>112</v>
      </c>
      <c r="B367" t="s">
        <v>56</v>
      </c>
      <c r="C367">
        <v>2082</v>
      </c>
      <c r="D367">
        <v>9</v>
      </c>
      <c r="E367">
        <v>6</v>
      </c>
      <c r="F367" t="s">
        <v>57</v>
      </c>
      <c r="G367">
        <v>3106</v>
      </c>
      <c r="H367">
        <v>300</v>
      </c>
      <c r="I367">
        <v>300</v>
      </c>
      <c r="J367">
        <v>300</v>
      </c>
      <c r="K367" t="s">
        <v>58</v>
      </c>
      <c r="L367" t="s">
        <v>58</v>
      </c>
      <c r="M367" t="b">
        <v>0</v>
      </c>
      <c r="N367">
        <v>931800</v>
      </c>
      <c r="O367" t="b">
        <f t="shared" si="10"/>
        <v>0</v>
      </c>
      <c r="P367">
        <v>475503</v>
      </c>
      <c r="Q367">
        <f t="shared" si="11"/>
        <v>472397</v>
      </c>
      <c r="R367">
        <v>0.55628460808869695</v>
      </c>
      <c r="S367">
        <v>6</v>
      </c>
      <c r="T367" t="b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264515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210988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</row>
    <row r="368" spans="1:56" x14ac:dyDescent="0.3">
      <c r="A368" t="s">
        <v>112</v>
      </c>
      <c r="B368" t="s">
        <v>56</v>
      </c>
      <c r="C368">
        <v>2082</v>
      </c>
      <c r="D368">
        <v>10</v>
      </c>
      <c r="E368">
        <v>7</v>
      </c>
      <c r="F368" t="s">
        <v>59</v>
      </c>
      <c r="G368">
        <v>198</v>
      </c>
      <c r="H368">
        <v>300</v>
      </c>
      <c r="I368">
        <v>300</v>
      </c>
      <c r="J368">
        <v>300</v>
      </c>
      <c r="K368" t="s">
        <v>58</v>
      </c>
      <c r="L368" t="s">
        <v>58</v>
      </c>
      <c r="M368" t="b">
        <v>0</v>
      </c>
      <c r="N368">
        <v>59400</v>
      </c>
      <c r="O368" t="b">
        <f t="shared" si="10"/>
        <v>1</v>
      </c>
      <c r="P368">
        <v>198</v>
      </c>
      <c r="Q368">
        <f t="shared" si="11"/>
        <v>0</v>
      </c>
      <c r="R368">
        <v>0</v>
      </c>
      <c r="S368">
        <v>6</v>
      </c>
      <c r="T368" t="b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198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</row>
    <row r="369" spans="1:56" x14ac:dyDescent="0.3">
      <c r="A369" t="s">
        <v>112</v>
      </c>
      <c r="B369" t="s">
        <v>56</v>
      </c>
      <c r="C369">
        <v>2082</v>
      </c>
      <c r="D369">
        <v>11</v>
      </c>
      <c r="E369">
        <v>8</v>
      </c>
      <c r="F369" t="s">
        <v>60</v>
      </c>
      <c r="G369">
        <v>47</v>
      </c>
      <c r="H369">
        <v>300</v>
      </c>
      <c r="I369">
        <v>300</v>
      </c>
      <c r="J369">
        <v>300</v>
      </c>
      <c r="K369" t="s">
        <v>58</v>
      </c>
      <c r="L369" t="s">
        <v>58</v>
      </c>
      <c r="M369" t="b">
        <v>0</v>
      </c>
      <c r="N369">
        <v>14100</v>
      </c>
      <c r="O369" t="b">
        <f t="shared" si="10"/>
        <v>1</v>
      </c>
      <c r="P369">
        <v>47</v>
      </c>
      <c r="Q369">
        <f t="shared" si="11"/>
        <v>0</v>
      </c>
      <c r="R369">
        <v>0</v>
      </c>
      <c r="S369">
        <v>6</v>
      </c>
      <c r="T369" t="b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47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</row>
    <row r="370" spans="1:56" x14ac:dyDescent="0.3">
      <c r="A370" t="s">
        <v>112</v>
      </c>
      <c r="B370" t="s">
        <v>56</v>
      </c>
      <c r="C370">
        <v>2082</v>
      </c>
      <c r="D370">
        <v>12</v>
      </c>
      <c r="E370">
        <v>9</v>
      </c>
      <c r="F370" t="s">
        <v>61</v>
      </c>
      <c r="G370">
        <v>2280</v>
      </c>
      <c r="H370">
        <v>300</v>
      </c>
      <c r="I370">
        <v>300</v>
      </c>
      <c r="J370">
        <v>300</v>
      </c>
      <c r="K370" t="s">
        <v>58</v>
      </c>
      <c r="L370" t="s">
        <v>58</v>
      </c>
      <c r="M370" t="b">
        <v>0</v>
      </c>
      <c r="N370">
        <v>684000</v>
      </c>
      <c r="O370" t="b">
        <f t="shared" si="10"/>
        <v>1</v>
      </c>
      <c r="P370">
        <v>2280</v>
      </c>
      <c r="Q370">
        <f t="shared" si="11"/>
        <v>0</v>
      </c>
      <c r="R370">
        <v>0.98245614035087703</v>
      </c>
      <c r="S370">
        <v>6</v>
      </c>
      <c r="T370" t="b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2240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40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</row>
    <row r="371" spans="1:56" x14ac:dyDescent="0.3">
      <c r="A371" t="s">
        <v>112</v>
      </c>
      <c r="B371" t="s">
        <v>56</v>
      </c>
      <c r="C371">
        <v>2083</v>
      </c>
      <c r="D371">
        <v>1</v>
      </c>
      <c r="E371">
        <v>10</v>
      </c>
      <c r="F371" t="s">
        <v>62</v>
      </c>
      <c r="G371">
        <v>0</v>
      </c>
      <c r="H371">
        <v>300</v>
      </c>
      <c r="I371">
        <v>300</v>
      </c>
      <c r="J371">
        <v>300</v>
      </c>
      <c r="K371" t="s">
        <v>58</v>
      </c>
      <c r="L371" t="s">
        <v>58</v>
      </c>
      <c r="M371" t="b">
        <v>0</v>
      </c>
      <c r="N371">
        <v>0</v>
      </c>
      <c r="O371" t="b">
        <f t="shared" si="10"/>
        <v>1</v>
      </c>
      <c r="P371">
        <v>0</v>
      </c>
      <c r="Q371">
        <f t="shared" si="11"/>
        <v>0</v>
      </c>
      <c r="S371">
        <v>6</v>
      </c>
      <c r="T371" t="b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</row>
    <row r="372" spans="1:56" x14ac:dyDescent="0.3">
      <c r="A372" t="s">
        <v>113</v>
      </c>
      <c r="B372" t="s">
        <v>64</v>
      </c>
      <c r="C372">
        <v>2082</v>
      </c>
      <c r="D372">
        <v>6</v>
      </c>
      <c r="E372">
        <v>3</v>
      </c>
      <c r="F372" t="s">
        <v>66</v>
      </c>
      <c r="G372">
        <v>1500</v>
      </c>
      <c r="H372">
        <v>0</v>
      </c>
      <c r="I372">
        <v>0</v>
      </c>
      <c r="J372">
        <v>480</v>
      </c>
      <c r="K372" t="s">
        <v>58</v>
      </c>
      <c r="L372" t="s">
        <v>58</v>
      </c>
      <c r="M372" t="b">
        <v>0</v>
      </c>
      <c r="N372">
        <v>720000</v>
      </c>
      <c r="O372" t="b">
        <f t="shared" si="10"/>
        <v>1</v>
      </c>
      <c r="P372">
        <v>1500</v>
      </c>
      <c r="Q372">
        <f t="shared" si="11"/>
        <v>0</v>
      </c>
      <c r="R372">
        <v>1</v>
      </c>
      <c r="S372">
        <v>8</v>
      </c>
      <c r="T372" t="b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1500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</row>
    <row r="373" spans="1:56" x14ac:dyDescent="0.3">
      <c r="A373" t="s">
        <v>113</v>
      </c>
      <c r="B373" t="s">
        <v>64</v>
      </c>
      <c r="C373">
        <v>2082</v>
      </c>
      <c r="D373">
        <v>7</v>
      </c>
      <c r="E373">
        <v>4</v>
      </c>
      <c r="F373" t="s">
        <v>67</v>
      </c>
      <c r="G373">
        <v>3650</v>
      </c>
      <c r="J373">
        <v>350</v>
      </c>
      <c r="K373" t="s">
        <v>58</v>
      </c>
      <c r="L373" t="s">
        <v>58</v>
      </c>
      <c r="M373" t="b">
        <v>0</v>
      </c>
      <c r="N373">
        <v>1277500</v>
      </c>
      <c r="O373" t="b">
        <f t="shared" si="10"/>
        <v>1</v>
      </c>
      <c r="P373">
        <v>3650</v>
      </c>
      <c r="Q373">
        <f t="shared" si="11"/>
        <v>0</v>
      </c>
      <c r="R373">
        <v>1</v>
      </c>
      <c r="S373">
        <v>8</v>
      </c>
      <c r="T373" t="b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3650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</row>
    <row r="374" spans="1:56" x14ac:dyDescent="0.3">
      <c r="A374" t="s">
        <v>113</v>
      </c>
      <c r="B374" t="s">
        <v>64</v>
      </c>
      <c r="C374">
        <v>2082</v>
      </c>
      <c r="D374">
        <v>8</v>
      </c>
      <c r="E374">
        <v>5</v>
      </c>
      <c r="F374" t="s">
        <v>68</v>
      </c>
      <c r="G374">
        <v>8600</v>
      </c>
      <c r="H374">
        <v>250</v>
      </c>
      <c r="I374">
        <v>300</v>
      </c>
      <c r="J374">
        <v>287.5</v>
      </c>
      <c r="K374" t="s">
        <v>58</v>
      </c>
      <c r="L374" t="s">
        <v>58</v>
      </c>
      <c r="M374" t="b">
        <v>0</v>
      </c>
      <c r="N374">
        <v>2472500</v>
      </c>
      <c r="O374" t="b">
        <f t="shared" si="10"/>
        <v>1</v>
      </c>
      <c r="P374">
        <v>8600</v>
      </c>
      <c r="Q374">
        <f t="shared" si="11"/>
        <v>0</v>
      </c>
      <c r="R374">
        <v>1</v>
      </c>
      <c r="S374">
        <v>8</v>
      </c>
      <c r="T374" t="b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3110</v>
      </c>
      <c r="AA374">
        <v>0</v>
      </c>
      <c r="AB374">
        <v>0</v>
      </c>
      <c r="AC374">
        <v>0</v>
      </c>
      <c r="AD374">
        <v>0</v>
      </c>
      <c r="AE374">
        <v>5490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</row>
    <row r="375" spans="1:56" x14ac:dyDescent="0.3">
      <c r="A375" t="s">
        <v>113</v>
      </c>
      <c r="B375" t="s">
        <v>64</v>
      </c>
      <c r="C375">
        <v>2082</v>
      </c>
      <c r="D375">
        <v>9</v>
      </c>
      <c r="E375">
        <v>6</v>
      </c>
      <c r="F375" t="s">
        <v>57</v>
      </c>
      <c r="G375">
        <v>13350</v>
      </c>
      <c r="H375">
        <v>300</v>
      </c>
      <c r="I375">
        <v>300</v>
      </c>
      <c r="J375">
        <v>300</v>
      </c>
      <c r="K375" t="s">
        <v>58</v>
      </c>
      <c r="L375" t="s">
        <v>58</v>
      </c>
      <c r="M375" t="b">
        <v>0</v>
      </c>
      <c r="N375">
        <v>4005000</v>
      </c>
      <c r="O375" t="b">
        <f t="shared" si="10"/>
        <v>1</v>
      </c>
      <c r="P375">
        <v>13350</v>
      </c>
      <c r="Q375">
        <f t="shared" si="11"/>
        <v>0</v>
      </c>
      <c r="R375">
        <v>1</v>
      </c>
      <c r="S375">
        <v>8</v>
      </c>
      <c r="T375" t="b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4350</v>
      </c>
      <c r="AA375">
        <v>0</v>
      </c>
      <c r="AB375">
        <v>0</v>
      </c>
      <c r="AC375">
        <v>0</v>
      </c>
      <c r="AD375">
        <v>0</v>
      </c>
      <c r="AE375">
        <v>9000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</row>
    <row r="376" spans="1:56" x14ac:dyDescent="0.3">
      <c r="A376" t="s">
        <v>113</v>
      </c>
      <c r="B376" t="s">
        <v>64</v>
      </c>
      <c r="C376">
        <v>2082</v>
      </c>
      <c r="D376">
        <v>10</v>
      </c>
      <c r="E376">
        <v>7</v>
      </c>
      <c r="F376" t="s">
        <v>59</v>
      </c>
      <c r="G376">
        <v>5420</v>
      </c>
      <c r="H376">
        <v>300</v>
      </c>
      <c r="I376">
        <v>300</v>
      </c>
      <c r="J376">
        <v>300</v>
      </c>
      <c r="K376" t="s">
        <v>58</v>
      </c>
      <c r="L376" t="s">
        <v>58</v>
      </c>
      <c r="M376" t="b">
        <v>0</v>
      </c>
      <c r="N376">
        <v>1626000</v>
      </c>
      <c r="O376" t="b">
        <f t="shared" si="10"/>
        <v>1</v>
      </c>
      <c r="P376">
        <v>5420</v>
      </c>
      <c r="Q376">
        <f t="shared" si="11"/>
        <v>0</v>
      </c>
      <c r="R376">
        <v>1</v>
      </c>
      <c r="S376">
        <v>8</v>
      </c>
      <c r="T376" t="b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690</v>
      </c>
      <c r="AA376">
        <v>0</v>
      </c>
      <c r="AB376">
        <v>0</v>
      </c>
      <c r="AC376">
        <v>0</v>
      </c>
      <c r="AD376">
        <v>0</v>
      </c>
      <c r="AE376">
        <v>4730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</row>
    <row r="377" spans="1:56" x14ac:dyDescent="0.3">
      <c r="A377" t="s">
        <v>113</v>
      </c>
      <c r="B377" t="s">
        <v>64</v>
      </c>
      <c r="C377">
        <v>2082</v>
      </c>
      <c r="D377">
        <v>11</v>
      </c>
      <c r="E377">
        <v>8</v>
      </c>
      <c r="F377" t="s">
        <v>60</v>
      </c>
      <c r="G377">
        <v>1900</v>
      </c>
      <c r="H377">
        <v>300</v>
      </c>
      <c r="I377">
        <v>300</v>
      </c>
      <c r="J377">
        <v>300</v>
      </c>
      <c r="K377" t="s">
        <v>58</v>
      </c>
      <c r="L377" t="s">
        <v>58</v>
      </c>
      <c r="M377" t="b">
        <v>0</v>
      </c>
      <c r="N377">
        <v>570000</v>
      </c>
      <c r="O377" t="b">
        <f t="shared" si="10"/>
        <v>1</v>
      </c>
      <c r="P377">
        <v>1900</v>
      </c>
      <c r="Q377">
        <f t="shared" si="11"/>
        <v>0</v>
      </c>
      <c r="R377">
        <v>1</v>
      </c>
      <c r="S377">
        <v>8</v>
      </c>
      <c r="T377" t="b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1900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</row>
    <row r="378" spans="1:56" x14ac:dyDescent="0.3">
      <c r="A378" t="s">
        <v>113</v>
      </c>
      <c r="B378" t="s">
        <v>64</v>
      </c>
      <c r="C378">
        <v>2082</v>
      </c>
      <c r="D378">
        <v>12</v>
      </c>
      <c r="E378">
        <v>9</v>
      </c>
      <c r="F378" t="s">
        <v>61</v>
      </c>
      <c r="G378">
        <v>12080</v>
      </c>
      <c r="H378">
        <v>300</v>
      </c>
      <c r="I378">
        <v>300</v>
      </c>
      <c r="J378">
        <v>300</v>
      </c>
      <c r="K378" t="s">
        <v>58</v>
      </c>
      <c r="L378" t="s">
        <v>58</v>
      </c>
      <c r="M378" t="b">
        <v>0</v>
      </c>
      <c r="N378">
        <v>3624000</v>
      </c>
      <c r="O378" t="b">
        <f t="shared" si="10"/>
        <v>1</v>
      </c>
      <c r="P378">
        <v>12080</v>
      </c>
      <c r="Q378">
        <f t="shared" si="11"/>
        <v>0</v>
      </c>
      <c r="R378">
        <v>1</v>
      </c>
      <c r="S378">
        <v>8</v>
      </c>
      <c r="T378" t="b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1240</v>
      </c>
      <c r="AA378">
        <v>0</v>
      </c>
      <c r="AB378">
        <v>0</v>
      </c>
      <c r="AC378">
        <v>0</v>
      </c>
      <c r="AD378">
        <v>0</v>
      </c>
      <c r="AE378">
        <v>10840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</row>
    <row r="379" spans="1:56" x14ac:dyDescent="0.3">
      <c r="A379" t="s">
        <v>113</v>
      </c>
      <c r="B379" t="s">
        <v>64</v>
      </c>
      <c r="C379">
        <v>2083</v>
      </c>
      <c r="D379">
        <v>1</v>
      </c>
      <c r="E379">
        <v>10</v>
      </c>
      <c r="F379" t="s">
        <v>62</v>
      </c>
      <c r="G379">
        <v>15690</v>
      </c>
      <c r="H379">
        <v>300</v>
      </c>
      <c r="I379">
        <v>300</v>
      </c>
      <c r="J379">
        <v>300</v>
      </c>
      <c r="K379" t="s">
        <v>58</v>
      </c>
      <c r="L379" t="s">
        <v>58</v>
      </c>
      <c r="M379" t="b">
        <v>0</v>
      </c>
      <c r="N379">
        <v>4707000</v>
      </c>
      <c r="O379" t="b">
        <f t="shared" si="10"/>
        <v>1</v>
      </c>
      <c r="P379">
        <v>15690</v>
      </c>
      <c r="Q379">
        <f t="shared" si="11"/>
        <v>0</v>
      </c>
      <c r="R379">
        <v>1</v>
      </c>
      <c r="S379">
        <v>8</v>
      </c>
      <c r="T379" t="b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880</v>
      </c>
      <c r="AA379">
        <v>0</v>
      </c>
      <c r="AB379">
        <v>0</v>
      </c>
      <c r="AC379">
        <v>0</v>
      </c>
      <c r="AD379">
        <v>0</v>
      </c>
      <c r="AE379">
        <v>14810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</row>
    <row r="380" spans="1:56" x14ac:dyDescent="0.3">
      <c r="A380" t="s">
        <v>114</v>
      </c>
      <c r="B380" t="s">
        <v>64</v>
      </c>
      <c r="C380">
        <v>2082</v>
      </c>
      <c r="D380">
        <v>4</v>
      </c>
      <c r="E380">
        <v>1</v>
      </c>
      <c r="F380" t="s">
        <v>70</v>
      </c>
      <c r="G380">
        <v>78640</v>
      </c>
      <c r="H380">
        <v>30</v>
      </c>
      <c r="I380">
        <v>40</v>
      </c>
      <c r="J380">
        <v>35</v>
      </c>
      <c r="K380" t="s">
        <v>58</v>
      </c>
      <c r="L380" t="s">
        <v>58</v>
      </c>
      <c r="M380" t="b">
        <v>0</v>
      </c>
      <c r="N380">
        <v>2752400</v>
      </c>
      <c r="O380" t="b">
        <f t="shared" si="10"/>
        <v>1</v>
      </c>
      <c r="P380">
        <v>78640</v>
      </c>
      <c r="Q380">
        <f t="shared" si="11"/>
        <v>0</v>
      </c>
      <c r="R380">
        <v>3.11546286876907E-2</v>
      </c>
      <c r="S380">
        <v>7</v>
      </c>
      <c r="T380" t="b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5805</v>
      </c>
      <c r="AC380">
        <v>23480</v>
      </c>
      <c r="AD380">
        <v>0</v>
      </c>
      <c r="AE380">
        <v>2450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4640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27930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14335</v>
      </c>
    </row>
    <row r="381" spans="1:56" x14ac:dyDescent="0.3">
      <c r="A381" t="s">
        <v>114</v>
      </c>
      <c r="B381" t="s">
        <v>64</v>
      </c>
      <c r="C381">
        <v>2082</v>
      </c>
      <c r="D381">
        <v>5</v>
      </c>
      <c r="E381">
        <v>2</v>
      </c>
      <c r="F381" t="s">
        <v>65</v>
      </c>
      <c r="G381">
        <v>2270</v>
      </c>
      <c r="H381">
        <v>30</v>
      </c>
      <c r="I381">
        <v>40</v>
      </c>
      <c r="J381">
        <v>35</v>
      </c>
      <c r="K381" t="s">
        <v>58</v>
      </c>
      <c r="L381" t="s">
        <v>58</v>
      </c>
      <c r="M381" t="b">
        <v>0</v>
      </c>
      <c r="N381">
        <v>79450</v>
      </c>
      <c r="O381" t="b">
        <f t="shared" si="10"/>
        <v>1</v>
      </c>
      <c r="P381">
        <v>2270</v>
      </c>
      <c r="Q381">
        <f t="shared" si="11"/>
        <v>0</v>
      </c>
      <c r="R381">
        <v>0</v>
      </c>
      <c r="S381">
        <v>7</v>
      </c>
      <c r="T381" t="b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2270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</row>
    <row r="382" spans="1:56" x14ac:dyDescent="0.3">
      <c r="A382" t="s">
        <v>114</v>
      </c>
      <c r="B382" t="s">
        <v>64</v>
      </c>
      <c r="C382">
        <v>2082</v>
      </c>
      <c r="D382">
        <v>6</v>
      </c>
      <c r="E382">
        <v>3</v>
      </c>
      <c r="F382" t="s">
        <v>66</v>
      </c>
      <c r="G382">
        <v>0</v>
      </c>
      <c r="H382">
        <v>40</v>
      </c>
      <c r="I382">
        <v>50</v>
      </c>
      <c r="J382">
        <v>45</v>
      </c>
      <c r="K382" t="s">
        <v>58</v>
      </c>
      <c r="L382" t="s">
        <v>58</v>
      </c>
      <c r="M382" t="b">
        <v>0</v>
      </c>
      <c r="N382">
        <v>0</v>
      </c>
      <c r="O382" t="b">
        <f t="shared" si="10"/>
        <v>1</v>
      </c>
      <c r="P382">
        <v>0</v>
      </c>
      <c r="Q382">
        <f t="shared" si="11"/>
        <v>0</v>
      </c>
      <c r="S382">
        <v>7</v>
      </c>
      <c r="T382" t="b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</row>
    <row r="383" spans="1:56" x14ac:dyDescent="0.3">
      <c r="A383" t="s">
        <v>114</v>
      </c>
      <c r="B383" t="s">
        <v>64</v>
      </c>
      <c r="C383">
        <v>2082</v>
      </c>
      <c r="D383">
        <v>10</v>
      </c>
      <c r="E383">
        <v>7</v>
      </c>
      <c r="F383" t="s">
        <v>59</v>
      </c>
      <c r="G383">
        <v>4820</v>
      </c>
      <c r="H383">
        <v>0</v>
      </c>
      <c r="I383">
        <v>0</v>
      </c>
      <c r="J383">
        <v>185</v>
      </c>
      <c r="K383" t="s">
        <v>58</v>
      </c>
      <c r="L383" t="s">
        <v>58</v>
      </c>
      <c r="M383" t="b">
        <v>0</v>
      </c>
      <c r="N383">
        <v>891700</v>
      </c>
      <c r="O383" t="b">
        <f t="shared" si="10"/>
        <v>1</v>
      </c>
      <c r="P383">
        <v>4820</v>
      </c>
      <c r="Q383">
        <f t="shared" si="11"/>
        <v>0</v>
      </c>
      <c r="R383">
        <v>1</v>
      </c>
      <c r="S383">
        <v>7</v>
      </c>
      <c r="T383" t="b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4820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</row>
    <row r="384" spans="1:56" x14ac:dyDescent="0.3">
      <c r="A384" t="s">
        <v>114</v>
      </c>
      <c r="B384" t="s">
        <v>64</v>
      </c>
      <c r="C384">
        <v>2082</v>
      </c>
      <c r="D384">
        <v>11</v>
      </c>
      <c r="E384">
        <v>8</v>
      </c>
      <c r="F384" t="s">
        <v>60</v>
      </c>
      <c r="G384">
        <v>1050</v>
      </c>
      <c r="H384">
        <v>0</v>
      </c>
      <c r="I384">
        <v>0</v>
      </c>
      <c r="J384">
        <v>90</v>
      </c>
      <c r="K384" t="s">
        <v>58</v>
      </c>
      <c r="L384" t="s">
        <v>58</v>
      </c>
      <c r="M384" t="b">
        <v>0</v>
      </c>
      <c r="N384">
        <v>94500</v>
      </c>
      <c r="O384" t="b">
        <f t="shared" si="10"/>
        <v>1</v>
      </c>
      <c r="P384">
        <v>1050</v>
      </c>
      <c r="Q384">
        <f t="shared" si="11"/>
        <v>0</v>
      </c>
      <c r="R384">
        <v>1</v>
      </c>
      <c r="S384">
        <v>7</v>
      </c>
      <c r="T384" t="b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1050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</row>
    <row r="385" spans="1:56" x14ac:dyDescent="0.3">
      <c r="A385" t="s">
        <v>114</v>
      </c>
      <c r="B385" t="s">
        <v>64</v>
      </c>
      <c r="C385">
        <v>2082</v>
      </c>
      <c r="D385">
        <v>12</v>
      </c>
      <c r="E385">
        <v>9</v>
      </c>
      <c r="F385" t="s">
        <v>61</v>
      </c>
      <c r="G385">
        <v>9565</v>
      </c>
      <c r="H385">
        <v>0</v>
      </c>
      <c r="I385">
        <v>0</v>
      </c>
      <c r="J385">
        <v>110</v>
      </c>
      <c r="K385" t="s">
        <v>58</v>
      </c>
      <c r="L385" t="s">
        <v>58</v>
      </c>
      <c r="M385" t="b">
        <v>0</v>
      </c>
      <c r="N385">
        <v>1052150</v>
      </c>
      <c r="O385" t="b">
        <f t="shared" si="10"/>
        <v>1</v>
      </c>
      <c r="P385">
        <v>9565</v>
      </c>
      <c r="Q385">
        <f t="shared" si="11"/>
        <v>0</v>
      </c>
      <c r="R385">
        <v>1</v>
      </c>
      <c r="S385">
        <v>7</v>
      </c>
      <c r="T385" t="b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9565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</row>
    <row r="386" spans="1:56" x14ac:dyDescent="0.3">
      <c r="A386" t="s">
        <v>114</v>
      </c>
      <c r="B386" t="s">
        <v>64</v>
      </c>
      <c r="C386">
        <v>2083</v>
      </c>
      <c r="D386">
        <v>1</v>
      </c>
      <c r="E386">
        <v>10</v>
      </c>
      <c r="F386" t="s">
        <v>62</v>
      </c>
      <c r="G386">
        <v>39770</v>
      </c>
      <c r="H386">
        <v>80</v>
      </c>
      <c r="I386">
        <v>100</v>
      </c>
      <c r="J386">
        <v>90</v>
      </c>
      <c r="K386" t="s">
        <v>58</v>
      </c>
      <c r="L386" t="s">
        <v>58</v>
      </c>
      <c r="M386" t="b">
        <v>0</v>
      </c>
      <c r="N386">
        <v>3579300</v>
      </c>
      <c r="O386" t="b">
        <f t="shared" ref="O386:O449" si="12">IF(P386=G386,TRUE,FALSE)</f>
        <v>1</v>
      </c>
      <c r="P386">
        <v>39770</v>
      </c>
      <c r="Q386">
        <f t="shared" si="11"/>
        <v>0</v>
      </c>
      <c r="R386">
        <v>0.75484033190847299</v>
      </c>
      <c r="S386">
        <v>7</v>
      </c>
      <c r="T386" t="b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30020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120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9630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</row>
    <row r="387" spans="1:56" x14ac:dyDescent="0.3">
      <c r="A387" t="s">
        <v>115</v>
      </c>
      <c r="B387" t="s">
        <v>56</v>
      </c>
      <c r="C387">
        <v>2082</v>
      </c>
      <c r="D387">
        <v>4</v>
      </c>
      <c r="E387">
        <v>1</v>
      </c>
      <c r="F387" t="s">
        <v>70</v>
      </c>
      <c r="G387">
        <v>47460</v>
      </c>
      <c r="H387">
        <v>200</v>
      </c>
      <c r="I387">
        <v>250</v>
      </c>
      <c r="J387">
        <v>223.2</v>
      </c>
      <c r="K387" t="s">
        <v>58</v>
      </c>
      <c r="L387" t="s">
        <v>58</v>
      </c>
      <c r="M387" t="b">
        <v>0</v>
      </c>
      <c r="N387">
        <v>10593072</v>
      </c>
      <c r="O387" t="b">
        <f t="shared" si="12"/>
        <v>1</v>
      </c>
      <c r="P387">
        <v>47460</v>
      </c>
      <c r="Q387">
        <f t="shared" si="11"/>
        <v>0</v>
      </c>
      <c r="R387">
        <v>1</v>
      </c>
      <c r="S387">
        <v>10</v>
      </c>
      <c r="T387" t="b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47460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</row>
    <row r="388" spans="1:56" x14ac:dyDescent="0.3">
      <c r="A388" t="s">
        <v>115</v>
      </c>
      <c r="B388" t="s">
        <v>56</v>
      </c>
      <c r="C388">
        <v>2082</v>
      </c>
      <c r="D388">
        <v>5</v>
      </c>
      <c r="E388">
        <v>2</v>
      </c>
      <c r="F388" t="s">
        <v>65</v>
      </c>
      <c r="G388">
        <v>54390</v>
      </c>
      <c r="H388">
        <v>200</v>
      </c>
      <c r="I388">
        <v>320</v>
      </c>
      <c r="J388">
        <v>243.66</v>
      </c>
      <c r="K388" t="s">
        <v>58</v>
      </c>
      <c r="L388" t="s">
        <v>58</v>
      </c>
      <c r="M388" t="b">
        <v>0</v>
      </c>
      <c r="N388">
        <v>13252667.4</v>
      </c>
      <c r="O388" t="b">
        <f t="shared" si="12"/>
        <v>1</v>
      </c>
      <c r="P388">
        <v>54390</v>
      </c>
      <c r="Q388">
        <f t="shared" si="11"/>
        <v>0</v>
      </c>
      <c r="R388">
        <v>1</v>
      </c>
      <c r="S388">
        <v>10</v>
      </c>
      <c r="T388" t="b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54390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</row>
    <row r="389" spans="1:56" x14ac:dyDescent="0.3">
      <c r="A389" t="s">
        <v>115</v>
      </c>
      <c r="B389" t="s">
        <v>56</v>
      </c>
      <c r="C389">
        <v>2082</v>
      </c>
      <c r="D389">
        <v>6</v>
      </c>
      <c r="E389">
        <v>3</v>
      </c>
      <c r="F389" t="s">
        <v>66</v>
      </c>
      <c r="G389">
        <v>68870</v>
      </c>
      <c r="H389">
        <v>230</v>
      </c>
      <c r="I389">
        <v>250</v>
      </c>
      <c r="J389">
        <v>240</v>
      </c>
      <c r="K389" t="s">
        <v>58</v>
      </c>
      <c r="L389" t="s">
        <v>58</v>
      </c>
      <c r="M389" t="b">
        <v>0</v>
      </c>
      <c r="N389">
        <v>16528800</v>
      </c>
      <c r="O389" t="b">
        <f t="shared" si="12"/>
        <v>1</v>
      </c>
      <c r="P389">
        <v>68870</v>
      </c>
      <c r="Q389">
        <f t="shared" si="11"/>
        <v>0</v>
      </c>
      <c r="R389">
        <v>1</v>
      </c>
      <c r="S389">
        <v>10</v>
      </c>
      <c r="T389" t="b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68870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</row>
    <row r="390" spans="1:56" x14ac:dyDescent="0.3">
      <c r="A390" t="s">
        <v>115</v>
      </c>
      <c r="B390" t="s">
        <v>56</v>
      </c>
      <c r="C390">
        <v>2082</v>
      </c>
      <c r="D390">
        <v>7</v>
      </c>
      <c r="E390">
        <v>4</v>
      </c>
      <c r="F390" t="s">
        <v>67</v>
      </c>
      <c r="G390">
        <v>61570</v>
      </c>
      <c r="H390">
        <v>230</v>
      </c>
      <c r="I390">
        <v>250</v>
      </c>
      <c r="J390">
        <v>240</v>
      </c>
      <c r="K390" t="s">
        <v>58</v>
      </c>
      <c r="L390" t="s">
        <v>58</v>
      </c>
      <c r="M390" t="b">
        <v>0</v>
      </c>
      <c r="N390">
        <v>14776800</v>
      </c>
      <c r="O390" t="b">
        <f t="shared" si="12"/>
        <v>1</v>
      </c>
      <c r="P390">
        <v>61570</v>
      </c>
      <c r="Q390">
        <f t="shared" si="11"/>
        <v>0</v>
      </c>
      <c r="R390">
        <v>1</v>
      </c>
      <c r="S390">
        <v>10</v>
      </c>
      <c r="T390" t="b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61570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</row>
    <row r="391" spans="1:56" x14ac:dyDescent="0.3">
      <c r="A391" t="s">
        <v>115</v>
      </c>
      <c r="B391" t="s">
        <v>56</v>
      </c>
      <c r="C391">
        <v>2082</v>
      </c>
      <c r="D391">
        <v>8</v>
      </c>
      <c r="E391">
        <v>5</v>
      </c>
      <c r="F391" t="s">
        <v>68</v>
      </c>
      <c r="G391">
        <v>42305</v>
      </c>
      <c r="H391">
        <v>200</v>
      </c>
      <c r="I391">
        <v>280</v>
      </c>
      <c r="J391">
        <v>240.79</v>
      </c>
      <c r="K391" t="s">
        <v>58</v>
      </c>
      <c r="L391" t="s">
        <v>58</v>
      </c>
      <c r="M391" t="b">
        <v>0</v>
      </c>
      <c r="N391">
        <v>10186620.949999999</v>
      </c>
      <c r="O391" t="b">
        <f t="shared" si="12"/>
        <v>1</v>
      </c>
      <c r="P391">
        <v>42305</v>
      </c>
      <c r="Q391">
        <f t="shared" si="11"/>
        <v>0</v>
      </c>
      <c r="R391">
        <v>1</v>
      </c>
      <c r="S391">
        <v>10</v>
      </c>
      <c r="T391" t="b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42305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</row>
    <row r="392" spans="1:56" x14ac:dyDescent="0.3">
      <c r="A392" t="s">
        <v>115</v>
      </c>
      <c r="B392" t="s">
        <v>56</v>
      </c>
      <c r="C392">
        <v>2082</v>
      </c>
      <c r="D392">
        <v>9</v>
      </c>
      <c r="E392">
        <v>6</v>
      </c>
      <c r="F392" t="s">
        <v>57</v>
      </c>
      <c r="G392">
        <v>26960</v>
      </c>
      <c r="H392">
        <v>260</v>
      </c>
      <c r="I392">
        <v>500</v>
      </c>
      <c r="J392">
        <v>377.5</v>
      </c>
      <c r="K392" t="s">
        <v>58</v>
      </c>
      <c r="L392" t="s">
        <v>58</v>
      </c>
      <c r="M392" t="b">
        <v>0</v>
      </c>
      <c r="N392">
        <v>10177400</v>
      </c>
      <c r="O392" t="b">
        <f t="shared" si="12"/>
        <v>1</v>
      </c>
      <c r="P392">
        <v>26960</v>
      </c>
      <c r="Q392">
        <f t="shared" si="11"/>
        <v>0</v>
      </c>
      <c r="R392">
        <v>1</v>
      </c>
      <c r="S392">
        <v>10</v>
      </c>
      <c r="T392" t="b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26960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</row>
    <row r="393" spans="1:56" x14ac:dyDescent="0.3">
      <c r="A393" t="s">
        <v>115</v>
      </c>
      <c r="B393" t="s">
        <v>56</v>
      </c>
      <c r="C393">
        <v>2082</v>
      </c>
      <c r="D393">
        <v>10</v>
      </c>
      <c r="E393">
        <v>7</v>
      </c>
      <c r="F393" t="s">
        <v>59</v>
      </c>
      <c r="G393">
        <v>70330</v>
      </c>
      <c r="H393">
        <v>210</v>
      </c>
      <c r="I393">
        <v>500</v>
      </c>
      <c r="J393">
        <v>300.29000000000002</v>
      </c>
      <c r="K393" t="s">
        <v>58</v>
      </c>
      <c r="L393" t="s">
        <v>58</v>
      </c>
      <c r="M393" t="b">
        <v>0</v>
      </c>
      <c r="N393">
        <v>21119395.699999999</v>
      </c>
      <c r="O393" t="b">
        <f t="shared" si="12"/>
        <v>1</v>
      </c>
      <c r="P393">
        <v>70330</v>
      </c>
      <c r="Q393">
        <f t="shared" si="11"/>
        <v>0</v>
      </c>
      <c r="R393">
        <v>1</v>
      </c>
      <c r="S393">
        <v>10</v>
      </c>
      <c r="T393" t="b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70330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</row>
    <row r="394" spans="1:56" x14ac:dyDescent="0.3">
      <c r="A394" t="s">
        <v>115</v>
      </c>
      <c r="B394" t="s">
        <v>56</v>
      </c>
      <c r="C394">
        <v>2082</v>
      </c>
      <c r="D394">
        <v>11</v>
      </c>
      <c r="E394">
        <v>8</v>
      </c>
      <c r="F394" t="s">
        <v>60</v>
      </c>
      <c r="G394">
        <v>43090</v>
      </c>
      <c r="H394">
        <v>250</v>
      </c>
      <c r="I394">
        <v>350</v>
      </c>
      <c r="J394">
        <v>280.56</v>
      </c>
      <c r="K394" t="s">
        <v>58</v>
      </c>
      <c r="L394" t="s">
        <v>58</v>
      </c>
      <c r="M394" t="b">
        <v>0</v>
      </c>
      <c r="N394">
        <v>12089330.4</v>
      </c>
      <c r="O394" t="b">
        <f t="shared" si="12"/>
        <v>1</v>
      </c>
      <c r="P394">
        <v>43090</v>
      </c>
      <c r="Q394">
        <f t="shared" si="11"/>
        <v>0</v>
      </c>
      <c r="R394">
        <v>1</v>
      </c>
      <c r="S394">
        <v>10</v>
      </c>
      <c r="T394" t="b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43090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</row>
    <row r="395" spans="1:56" x14ac:dyDescent="0.3">
      <c r="A395" t="s">
        <v>115</v>
      </c>
      <c r="B395" t="s">
        <v>56</v>
      </c>
      <c r="C395">
        <v>2082</v>
      </c>
      <c r="D395">
        <v>12</v>
      </c>
      <c r="E395">
        <v>9</v>
      </c>
      <c r="F395" t="s">
        <v>61</v>
      </c>
      <c r="G395">
        <v>87030</v>
      </c>
      <c r="H395">
        <v>250</v>
      </c>
      <c r="I395">
        <v>300</v>
      </c>
      <c r="J395">
        <v>275</v>
      </c>
      <c r="K395" t="s">
        <v>58</v>
      </c>
      <c r="L395" t="s">
        <v>58</v>
      </c>
      <c r="M395" t="b">
        <v>0</v>
      </c>
      <c r="N395">
        <v>23933250</v>
      </c>
      <c r="O395" t="b">
        <f t="shared" si="12"/>
        <v>1</v>
      </c>
      <c r="P395">
        <v>87030</v>
      </c>
      <c r="Q395">
        <f t="shared" si="11"/>
        <v>0</v>
      </c>
      <c r="R395">
        <v>1</v>
      </c>
      <c r="S395">
        <v>10</v>
      </c>
      <c r="T395" t="b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87030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</row>
    <row r="396" spans="1:56" x14ac:dyDescent="0.3">
      <c r="A396" t="s">
        <v>115</v>
      </c>
      <c r="B396" t="s">
        <v>56</v>
      </c>
      <c r="C396">
        <v>2083</v>
      </c>
      <c r="D396">
        <v>1</v>
      </c>
      <c r="E396">
        <v>10</v>
      </c>
      <c r="F396" t="s">
        <v>62</v>
      </c>
      <c r="G396">
        <v>97150</v>
      </c>
      <c r="H396">
        <v>200</v>
      </c>
      <c r="I396">
        <v>300</v>
      </c>
      <c r="J396">
        <v>233.7</v>
      </c>
      <c r="K396" t="s">
        <v>58</v>
      </c>
      <c r="L396" t="s">
        <v>58</v>
      </c>
      <c r="M396" t="b">
        <v>0</v>
      </c>
      <c r="N396">
        <v>22703955</v>
      </c>
      <c r="O396" t="b">
        <f t="shared" si="12"/>
        <v>1</v>
      </c>
      <c r="P396">
        <v>97150</v>
      </c>
      <c r="Q396">
        <f t="shared" si="11"/>
        <v>0</v>
      </c>
      <c r="R396">
        <v>1</v>
      </c>
      <c r="S396">
        <v>10</v>
      </c>
      <c r="T396" t="b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97150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</row>
    <row r="397" spans="1:56" x14ac:dyDescent="0.3">
      <c r="A397" t="s">
        <v>116</v>
      </c>
      <c r="B397" t="s">
        <v>64</v>
      </c>
      <c r="C397">
        <v>2082</v>
      </c>
      <c r="D397">
        <v>4</v>
      </c>
      <c r="E397">
        <v>1</v>
      </c>
      <c r="F397" t="s">
        <v>70</v>
      </c>
      <c r="G397">
        <v>4280</v>
      </c>
      <c r="H397">
        <v>350</v>
      </c>
      <c r="I397">
        <v>800</v>
      </c>
      <c r="J397">
        <v>599</v>
      </c>
      <c r="K397" t="s">
        <v>58</v>
      </c>
      <c r="L397" t="s">
        <v>58</v>
      </c>
      <c r="M397" t="b">
        <v>0</v>
      </c>
      <c r="N397">
        <v>2563720</v>
      </c>
      <c r="O397" t="b">
        <f t="shared" si="12"/>
        <v>1</v>
      </c>
      <c r="P397">
        <v>4280</v>
      </c>
      <c r="Q397">
        <f t="shared" si="11"/>
        <v>0</v>
      </c>
      <c r="R397">
        <v>1</v>
      </c>
      <c r="S397">
        <v>10</v>
      </c>
      <c r="T397" t="b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4280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</row>
    <row r="398" spans="1:56" x14ac:dyDescent="0.3">
      <c r="A398" t="s">
        <v>116</v>
      </c>
      <c r="B398" t="s">
        <v>64</v>
      </c>
      <c r="C398">
        <v>2082</v>
      </c>
      <c r="D398">
        <v>5</v>
      </c>
      <c r="E398">
        <v>2</v>
      </c>
      <c r="F398" t="s">
        <v>65</v>
      </c>
      <c r="G398">
        <v>5995</v>
      </c>
      <c r="H398">
        <v>300</v>
      </c>
      <c r="I398">
        <v>800</v>
      </c>
      <c r="J398">
        <v>613.59</v>
      </c>
      <c r="K398" t="s">
        <v>58</v>
      </c>
      <c r="L398" t="s">
        <v>58</v>
      </c>
      <c r="M398" t="b">
        <v>0</v>
      </c>
      <c r="N398">
        <v>3678472.05</v>
      </c>
      <c r="O398" t="b">
        <f t="shared" si="12"/>
        <v>1</v>
      </c>
      <c r="P398">
        <v>5995</v>
      </c>
      <c r="Q398">
        <f t="shared" ref="Q398:Q461" si="13">ABS(P398-G398)</f>
        <v>0</v>
      </c>
      <c r="R398">
        <v>1</v>
      </c>
      <c r="S398">
        <v>10</v>
      </c>
      <c r="T398" t="b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5455</v>
      </c>
      <c r="AA398">
        <v>0</v>
      </c>
      <c r="AB398">
        <v>0</v>
      </c>
      <c r="AC398">
        <v>0</v>
      </c>
      <c r="AD398">
        <v>0</v>
      </c>
      <c r="AE398">
        <v>540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</row>
    <row r="399" spans="1:56" x14ac:dyDescent="0.3">
      <c r="A399" t="s">
        <v>116</v>
      </c>
      <c r="B399" t="s">
        <v>64</v>
      </c>
      <c r="C399">
        <v>2082</v>
      </c>
      <c r="D399">
        <v>6</v>
      </c>
      <c r="E399">
        <v>3</v>
      </c>
      <c r="F399" t="s">
        <v>66</v>
      </c>
      <c r="G399">
        <v>5740</v>
      </c>
      <c r="H399">
        <v>350</v>
      </c>
      <c r="I399">
        <v>400</v>
      </c>
      <c r="J399">
        <v>375</v>
      </c>
      <c r="K399" t="s">
        <v>58</v>
      </c>
      <c r="L399" t="s">
        <v>58</v>
      </c>
      <c r="M399" t="b">
        <v>0</v>
      </c>
      <c r="N399">
        <v>2152500</v>
      </c>
      <c r="O399" t="b">
        <f t="shared" si="12"/>
        <v>1</v>
      </c>
      <c r="P399">
        <v>5740</v>
      </c>
      <c r="Q399">
        <f t="shared" si="13"/>
        <v>0</v>
      </c>
      <c r="R399">
        <v>0.81184668989547004</v>
      </c>
      <c r="S399">
        <v>10</v>
      </c>
      <c r="T399" t="b">
        <v>1</v>
      </c>
      <c r="U399">
        <v>0</v>
      </c>
      <c r="V399">
        <v>0</v>
      </c>
      <c r="W399">
        <v>1080</v>
      </c>
      <c r="X399">
        <v>0</v>
      </c>
      <c r="Y399">
        <v>0</v>
      </c>
      <c r="Z399">
        <v>4660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</row>
    <row r="400" spans="1:56" x14ac:dyDescent="0.3">
      <c r="A400" t="s">
        <v>116</v>
      </c>
      <c r="B400" t="s">
        <v>64</v>
      </c>
      <c r="C400">
        <v>2082</v>
      </c>
      <c r="D400">
        <v>7</v>
      </c>
      <c r="E400">
        <v>4</v>
      </c>
      <c r="F400" t="s">
        <v>67</v>
      </c>
      <c r="G400">
        <v>4850</v>
      </c>
      <c r="H400">
        <v>350</v>
      </c>
      <c r="I400">
        <v>400</v>
      </c>
      <c r="J400">
        <v>375</v>
      </c>
      <c r="K400" t="s">
        <v>58</v>
      </c>
      <c r="L400" t="s">
        <v>58</v>
      </c>
      <c r="M400" t="b">
        <v>0</v>
      </c>
      <c r="N400">
        <v>1818750</v>
      </c>
      <c r="O400" t="b">
        <f t="shared" si="12"/>
        <v>1</v>
      </c>
      <c r="P400">
        <v>4850</v>
      </c>
      <c r="Q400">
        <f t="shared" si="13"/>
        <v>0</v>
      </c>
      <c r="R400">
        <v>0.56494845360824697</v>
      </c>
      <c r="S400">
        <v>10</v>
      </c>
      <c r="T400" t="b">
        <v>1</v>
      </c>
      <c r="U400">
        <v>0</v>
      </c>
      <c r="V400">
        <v>0</v>
      </c>
      <c r="W400">
        <v>2110</v>
      </c>
      <c r="X400">
        <v>0</v>
      </c>
      <c r="Y400">
        <v>0</v>
      </c>
      <c r="Z400">
        <v>2400</v>
      </c>
      <c r="AA400">
        <v>0</v>
      </c>
      <c r="AB400">
        <v>0</v>
      </c>
      <c r="AC400">
        <v>0</v>
      </c>
      <c r="AD400">
        <v>0</v>
      </c>
      <c r="AE400">
        <v>340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</row>
    <row r="401" spans="1:56" x14ac:dyDescent="0.3">
      <c r="A401" t="s">
        <v>116</v>
      </c>
      <c r="B401" t="s">
        <v>64</v>
      </c>
      <c r="C401">
        <v>2082</v>
      </c>
      <c r="D401">
        <v>8</v>
      </c>
      <c r="E401">
        <v>5</v>
      </c>
      <c r="F401" t="s">
        <v>68</v>
      </c>
      <c r="G401">
        <v>10345</v>
      </c>
      <c r="H401">
        <v>350</v>
      </c>
      <c r="I401">
        <v>400</v>
      </c>
      <c r="J401">
        <v>375</v>
      </c>
      <c r="K401" t="s">
        <v>58</v>
      </c>
      <c r="L401" t="s">
        <v>58</v>
      </c>
      <c r="M401" t="b">
        <v>0</v>
      </c>
      <c r="N401">
        <v>3879375</v>
      </c>
      <c r="O401" t="b">
        <f t="shared" si="12"/>
        <v>1</v>
      </c>
      <c r="P401">
        <v>10345</v>
      </c>
      <c r="Q401">
        <f t="shared" si="13"/>
        <v>0</v>
      </c>
      <c r="R401">
        <v>0.53939101014983004</v>
      </c>
      <c r="S401">
        <v>10</v>
      </c>
      <c r="T401" t="b">
        <v>1</v>
      </c>
      <c r="U401">
        <v>0</v>
      </c>
      <c r="V401">
        <v>0</v>
      </c>
      <c r="W401">
        <v>1770</v>
      </c>
      <c r="X401">
        <v>0</v>
      </c>
      <c r="Y401">
        <v>0</v>
      </c>
      <c r="Z401">
        <v>5580</v>
      </c>
      <c r="AA401">
        <v>0</v>
      </c>
      <c r="AB401">
        <v>0</v>
      </c>
      <c r="AC401">
        <v>0</v>
      </c>
      <c r="AD401">
        <v>420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165</v>
      </c>
      <c r="AK401">
        <v>0</v>
      </c>
      <c r="AL401">
        <v>0</v>
      </c>
      <c r="AM401">
        <v>0</v>
      </c>
      <c r="AN401">
        <v>0</v>
      </c>
      <c r="AO401">
        <v>1190</v>
      </c>
      <c r="AP401">
        <v>0</v>
      </c>
      <c r="AQ401">
        <v>180</v>
      </c>
      <c r="AR401">
        <v>0</v>
      </c>
      <c r="AS401">
        <v>1040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</row>
    <row r="402" spans="1:56" x14ac:dyDescent="0.3">
      <c r="A402" t="s">
        <v>116</v>
      </c>
      <c r="B402" t="s">
        <v>64</v>
      </c>
      <c r="C402">
        <v>2082</v>
      </c>
      <c r="D402">
        <v>9</v>
      </c>
      <c r="E402">
        <v>6</v>
      </c>
      <c r="F402" t="s">
        <v>57</v>
      </c>
      <c r="G402">
        <v>8990</v>
      </c>
      <c r="H402">
        <v>250</v>
      </c>
      <c r="I402">
        <v>400</v>
      </c>
      <c r="J402">
        <v>325</v>
      </c>
      <c r="K402" t="s">
        <v>58</v>
      </c>
      <c r="L402" t="s">
        <v>58</v>
      </c>
      <c r="M402" t="b">
        <v>0</v>
      </c>
      <c r="N402">
        <v>2921750</v>
      </c>
      <c r="O402" t="b">
        <f t="shared" si="12"/>
        <v>1</v>
      </c>
      <c r="P402">
        <v>8990</v>
      </c>
      <c r="Q402">
        <f t="shared" si="13"/>
        <v>0</v>
      </c>
      <c r="R402">
        <v>0.802558398220244</v>
      </c>
      <c r="S402">
        <v>10</v>
      </c>
      <c r="T402" t="b">
        <v>1</v>
      </c>
      <c r="U402">
        <v>320</v>
      </c>
      <c r="V402">
        <v>0</v>
      </c>
      <c r="W402">
        <v>240</v>
      </c>
      <c r="X402">
        <v>0</v>
      </c>
      <c r="Y402">
        <v>0</v>
      </c>
      <c r="Z402">
        <v>7215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135</v>
      </c>
      <c r="AL402">
        <v>0</v>
      </c>
      <c r="AM402">
        <v>0</v>
      </c>
      <c r="AN402">
        <v>0</v>
      </c>
      <c r="AO402">
        <v>1080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</row>
    <row r="403" spans="1:56" x14ac:dyDescent="0.3">
      <c r="A403" t="s">
        <v>116</v>
      </c>
      <c r="B403" t="s">
        <v>64</v>
      </c>
      <c r="C403">
        <v>2082</v>
      </c>
      <c r="D403">
        <v>10</v>
      </c>
      <c r="E403">
        <v>7</v>
      </c>
      <c r="F403" t="s">
        <v>59</v>
      </c>
      <c r="G403">
        <v>5695</v>
      </c>
      <c r="H403">
        <v>250</v>
      </c>
      <c r="I403">
        <v>300</v>
      </c>
      <c r="J403">
        <v>275</v>
      </c>
      <c r="K403" t="s">
        <v>58</v>
      </c>
      <c r="L403" t="s">
        <v>58</v>
      </c>
      <c r="M403" t="b">
        <v>0</v>
      </c>
      <c r="N403">
        <v>1566125</v>
      </c>
      <c r="O403" t="b">
        <f t="shared" si="12"/>
        <v>1</v>
      </c>
      <c r="P403">
        <v>5695</v>
      </c>
      <c r="Q403">
        <f t="shared" si="13"/>
        <v>0</v>
      </c>
      <c r="R403">
        <v>1</v>
      </c>
      <c r="S403">
        <v>10</v>
      </c>
      <c r="T403" t="b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5355</v>
      </c>
      <c r="AA403">
        <v>0</v>
      </c>
      <c r="AB403">
        <v>0</v>
      </c>
      <c r="AC403">
        <v>0</v>
      </c>
      <c r="AD403">
        <v>0</v>
      </c>
      <c r="AE403">
        <v>340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</row>
    <row r="404" spans="1:56" x14ac:dyDescent="0.3">
      <c r="A404" t="s">
        <v>116</v>
      </c>
      <c r="B404" t="s">
        <v>64</v>
      </c>
      <c r="C404">
        <v>2082</v>
      </c>
      <c r="D404">
        <v>11</v>
      </c>
      <c r="E404">
        <v>8</v>
      </c>
      <c r="F404" t="s">
        <v>60</v>
      </c>
      <c r="G404">
        <v>4945</v>
      </c>
      <c r="H404">
        <v>250</v>
      </c>
      <c r="I404">
        <v>300</v>
      </c>
      <c r="J404">
        <v>275</v>
      </c>
      <c r="K404" t="s">
        <v>58</v>
      </c>
      <c r="L404" t="s">
        <v>58</v>
      </c>
      <c r="M404" t="b">
        <v>0</v>
      </c>
      <c r="N404">
        <v>1359875</v>
      </c>
      <c r="O404" t="b">
        <f t="shared" si="12"/>
        <v>1</v>
      </c>
      <c r="P404">
        <v>4945</v>
      </c>
      <c r="Q404">
        <f t="shared" si="13"/>
        <v>0</v>
      </c>
      <c r="R404">
        <v>1</v>
      </c>
      <c r="S404">
        <v>10</v>
      </c>
      <c r="T404" t="b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4245</v>
      </c>
      <c r="AA404">
        <v>0</v>
      </c>
      <c r="AB404">
        <v>0</v>
      </c>
      <c r="AC404">
        <v>0</v>
      </c>
      <c r="AD404">
        <v>0</v>
      </c>
      <c r="AE404">
        <v>700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</row>
    <row r="405" spans="1:56" x14ac:dyDescent="0.3">
      <c r="A405" t="s">
        <v>116</v>
      </c>
      <c r="B405" t="s">
        <v>64</v>
      </c>
      <c r="C405">
        <v>2082</v>
      </c>
      <c r="D405">
        <v>12</v>
      </c>
      <c r="E405">
        <v>9</v>
      </c>
      <c r="F405" t="s">
        <v>61</v>
      </c>
      <c r="G405">
        <v>5910</v>
      </c>
      <c r="H405">
        <v>250</v>
      </c>
      <c r="I405">
        <v>400</v>
      </c>
      <c r="J405">
        <v>336.36</v>
      </c>
      <c r="K405" t="s">
        <v>58</v>
      </c>
      <c r="L405" t="s">
        <v>58</v>
      </c>
      <c r="M405" t="b">
        <v>0</v>
      </c>
      <c r="N405">
        <v>1987887.6</v>
      </c>
      <c r="O405" t="b">
        <f t="shared" si="12"/>
        <v>1</v>
      </c>
      <c r="P405">
        <v>5910</v>
      </c>
      <c r="Q405">
        <f t="shared" si="13"/>
        <v>0</v>
      </c>
      <c r="R405">
        <v>1</v>
      </c>
      <c r="S405">
        <v>10</v>
      </c>
      <c r="T405" t="b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5910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</row>
    <row r="406" spans="1:56" x14ac:dyDescent="0.3">
      <c r="A406" t="s">
        <v>116</v>
      </c>
      <c r="B406" t="s">
        <v>64</v>
      </c>
      <c r="C406">
        <v>2083</v>
      </c>
      <c r="D406">
        <v>1</v>
      </c>
      <c r="E406">
        <v>10</v>
      </c>
      <c r="F406" t="s">
        <v>62</v>
      </c>
      <c r="G406">
        <v>4180</v>
      </c>
      <c r="H406">
        <v>300</v>
      </c>
      <c r="I406">
        <v>400</v>
      </c>
      <c r="J406">
        <v>350</v>
      </c>
      <c r="K406" t="s">
        <v>58</v>
      </c>
      <c r="L406" t="s">
        <v>58</v>
      </c>
      <c r="M406" t="b">
        <v>0</v>
      </c>
      <c r="N406">
        <v>1463000</v>
      </c>
      <c r="O406" t="b">
        <f t="shared" si="12"/>
        <v>1</v>
      </c>
      <c r="P406">
        <v>4180</v>
      </c>
      <c r="Q406">
        <f t="shared" si="13"/>
        <v>0</v>
      </c>
      <c r="R406">
        <v>1</v>
      </c>
      <c r="S406">
        <v>10</v>
      </c>
      <c r="T406" t="b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4180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</row>
    <row r="407" spans="1:56" x14ac:dyDescent="0.3">
      <c r="A407" t="s">
        <v>117</v>
      </c>
      <c r="B407" t="s">
        <v>56</v>
      </c>
      <c r="C407">
        <v>2082</v>
      </c>
      <c r="D407">
        <v>4</v>
      </c>
      <c r="E407">
        <v>1</v>
      </c>
      <c r="F407" t="s">
        <v>70</v>
      </c>
      <c r="G407">
        <v>425</v>
      </c>
      <c r="H407">
        <v>400</v>
      </c>
      <c r="I407">
        <v>500</v>
      </c>
      <c r="J407">
        <v>414</v>
      </c>
      <c r="K407" t="s">
        <v>58</v>
      </c>
      <c r="L407" t="s">
        <v>58</v>
      </c>
      <c r="M407" t="b">
        <v>0</v>
      </c>
      <c r="N407">
        <v>175950</v>
      </c>
      <c r="O407" t="b">
        <f t="shared" si="12"/>
        <v>1</v>
      </c>
      <c r="P407">
        <v>425</v>
      </c>
      <c r="Q407">
        <f t="shared" si="13"/>
        <v>0</v>
      </c>
      <c r="R407">
        <v>0</v>
      </c>
      <c r="S407">
        <v>8</v>
      </c>
      <c r="T407" t="b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282</v>
      </c>
      <c r="AH407">
        <v>0</v>
      </c>
      <c r="AI407">
        <v>0</v>
      </c>
      <c r="AJ407">
        <v>0</v>
      </c>
      <c r="AK407">
        <v>115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28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</row>
    <row r="408" spans="1:56" x14ac:dyDescent="0.3">
      <c r="A408" t="s">
        <v>117</v>
      </c>
      <c r="B408" t="s">
        <v>56</v>
      </c>
      <c r="C408">
        <v>2082</v>
      </c>
      <c r="D408">
        <v>5</v>
      </c>
      <c r="E408">
        <v>2</v>
      </c>
      <c r="F408" t="s">
        <v>65</v>
      </c>
      <c r="G408">
        <v>86</v>
      </c>
      <c r="H408">
        <v>400</v>
      </c>
      <c r="I408">
        <v>500</v>
      </c>
      <c r="J408">
        <v>405.63</v>
      </c>
      <c r="K408" t="s">
        <v>58</v>
      </c>
      <c r="L408" t="s">
        <v>58</v>
      </c>
      <c r="M408" t="b">
        <v>0</v>
      </c>
      <c r="N408">
        <v>34884.18</v>
      </c>
      <c r="O408" t="b">
        <f t="shared" si="12"/>
        <v>1</v>
      </c>
      <c r="P408">
        <v>86</v>
      </c>
      <c r="Q408">
        <f t="shared" si="13"/>
        <v>0</v>
      </c>
      <c r="R408">
        <v>0</v>
      </c>
      <c r="S408">
        <v>8</v>
      </c>
      <c r="T408" t="b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49</v>
      </c>
      <c r="AH408">
        <v>0</v>
      </c>
      <c r="AI408">
        <v>0</v>
      </c>
      <c r="AJ408">
        <v>0</v>
      </c>
      <c r="AK408">
        <v>21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16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</row>
    <row r="409" spans="1:56" x14ac:dyDescent="0.3">
      <c r="A409" t="s">
        <v>117</v>
      </c>
      <c r="B409" t="s">
        <v>56</v>
      </c>
      <c r="C409">
        <v>2082</v>
      </c>
      <c r="D409">
        <v>6</v>
      </c>
      <c r="E409">
        <v>3</v>
      </c>
      <c r="F409" t="s">
        <v>66</v>
      </c>
      <c r="G409">
        <v>0</v>
      </c>
      <c r="H409">
        <v>400</v>
      </c>
      <c r="I409">
        <v>500</v>
      </c>
      <c r="J409">
        <v>450</v>
      </c>
      <c r="K409" t="s">
        <v>58</v>
      </c>
      <c r="L409" t="s">
        <v>58</v>
      </c>
      <c r="M409" t="b">
        <v>0</v>
      </c>
      <c r="N409">
        <v>0</v>
      </c>
      <c r="O409" t="b">
        <f t="shared" si="12"/>
        <v>1</v>
      </c>
      <c r="P409">
        <v>0</v>
      </c>
      <c r="Q409">
        <f t="shared" si="13"/>
        <v>0</v>
      </c>
      <c r="S409">
        <v>8</v>
      </c>
      <c r="T409" t="b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</row>
    <row r="410" spans="1:56" x14ac:dyDescent="0.3">
      <c r="A410" t="s">
        <v>117</v>
      </c>
      <c r="B410" t="s">
        <v>56</v>
      </c>
      <c r="C410">
        <v>2082</v>
      </c>
      <c r="D410">
        <v>7</v>
      </c>
      <c r="E410">
        <v>4</v>
      </c>
      <c r="F410" t="s">
        <v>67</v>
      </c>
      <c r="G410">
        <v>0</v>
      </c>
      <c r="H410">
        <v>400</v>
      </c>
      <c r="I410">
        <v>500</v>
      </c>
      <c r="J410">
        <v>450</v>
      </c>
      <c r="K410" t="s">
        <v>58</v>
      </c>
      <c r="L410" t="s">
        <v>58</v>
      </c>
      <c r="M410" t="b">
        <v>0</v>
      </c>
      <c r="N410">
        <v>0</v>
      </c>
      <c r="O410" t="b">
        <f t="shared" si="12"/>
        <v>1</v>
      </c>
      <c r="P410">
        <v>0</v>
      </c>
      <c r="Q410">
        <f t="shared" si="13"/>
        <v>0</v>
      </c>
      <c r="S410">
        <v>8</v>
      </c>
      <c r="T410" t="b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</row>
    <row r="411" spans="1:56" x14ac:dyDescent="0.3">
      <c r="A411" t="s">
        <v>117</v>
      </c>
      <c r="B411" t="s">
        <v>56</v>
      </c>
      <c r="C411">
        <v>2082</v>
      </c>
      <c r="D411">
        <v>8</v>
      </c>
      <c r="E411">
        <v>5</v>
      </c>
      <c r="F411" t="s">
        <v>68</v>
      </c>
      <c r="G411">
        <v>0</v>
      </c>
      <c r="H411">
        <v>400</v>
      </c>
      <c r="I411">
        <v>500</v>
      </c>
      <c r="J411">
        <v>450</v>
      </c>
      <c r="K411" t="s">
        <v>58</v>
      </c>
      <c r="L411" t="s">
        <v>58</v>
      </c>
      <c r="M411" t="b">
        <v>0</v>
      </c>
      <c r="N411">
        <v>0</v>
      </c>
      <c r="O411" t="b">
        <f t="shared" si="12"/>
        <v>1</v>
      </c>
      <c r="P411">
        <v>0</v>
      </c>
      <c r="Q411">
        <f t="shared" si="13"/>
        <v>0</v>
      </c>
      <c r="S411">
        <v>8</v>
      </c>
      <c r="T411" t="b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</row>
    <row r="412" spans="1:56" x14ac:dyDescent="0.3">
      <c r="A412" t="s">
        <v>117</v>
      </c>
      <c r="B412" t="s">
        <v>56</v>
      </c>
      <c r="C412">
        <v>2082</v>
      </c>
      <c r="D412">
        <v>10</v>
      </c>
      <c r="E412">
        <v>7</v>
      </c>
      <c r="F412" t="s">
        <v>59</v>
      </c>
      <c r="G412">
        <v>0</v>
      </c>
      <c r="H412">
        <v>400</v>
      </c>
      <c r="I412">
        <v>500</v>
      </c>
      <c r="J412">
        <v>450</v>
      </c>
      <c r="K412" t="s">
        <v>58</v>
      </c>
      <c r="L412" t="s">
        <v>58</v>
      </c>
      <c r="M412" t="b">
        <v>0</v>
      </c>
      <c r="N412">
        <v>0</v>
      </c>
      <c r="O412" t="b">
        <f t="shared" si="12"/>
        <v>1</v>
      </c>
      <c r="P412">
        <v>0</v>
      </c>
      <c r="Q412">
        <f t="shared" si="13"/>
        <v>0</v>
      </c>
      <c r="S412">
        <v>8</v>
      </c>
      <c r="T412" t="b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</row>
    <row r="413" spans="1:56" x14ac:dyDescent="0.3">
      <c r="A413" t="s">
        <v>117</v>
      </c>
      <c r="B413" t="s">
        <v>56</v>
      </c>
      <c r="C413">
        <v>2082</v>
      </c>
      <c r="D413">
        <v>11</v>
      </c>
      <c r="E413">
        <v>8</v>
      </c>
      <c r="F413" t="s">
        <v>60</v>
      </c>
      <c r="G413">
        <v>0</v>
      </c>
      <c r="H413">
        <v>400</v>
      </c>
      <c r="I413">
        <v>500</v>
      </c>
      <c r="J413">
        <v>450</v>
      </c>
      <c r="K413" t="s">
        <v>58</v>
      </c>
      <c r="L413" t="s">
        <v>58</v>
      </c>
      <c r="M413" t="b">
        <v>0</v>
      </c>
      <c r="N413">
        <v>0</v>
      </c>
      <c r="O413" t="b">
        <f t="shared" si="12"/>
        <v>1</v>
      </c>
      <c r="P413">
        <v>0</v>
      </c>
      <c r="Q413">
        <f t="shared" si="13"/>
        <v>0</v>
      </c>
      <c r="S413">
        <v>8</v>
      </c>
      <c r="T413" t="b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</row>
    <row r="414" spans="1:56" x14ac:dyDescent="0.3">
      <c r="A414" t="s">
        <v>117</v>
      </c>
      <c r="B414" t="s">
        <v>56</v>
      </c>
      <c r="C414">
        <v>2082</v>
      </c>
      <c r="D414">
        <v>12</v>
      </c>
      <c r="E414">
        <v>9</v>
      </c>
      <c r="F414" t="s">
        <v>61</v>
      </c>
      <c r="G414">
        <v>0</v>
      </c>
      <c r="H414">
        <v>400</v>
      </c>
      <c r="I414">
        <v>500</v>
      </c>
      <c r="J414">
        <v>450</v>
      </c>
      <c r="K414" t="s">
        <v>58</v>
      </c>
      <c r="L414" t="s">
        <v>58</v>
      </c>
      <c r="M414" t="b">
        <v>0</v>
      </c>
      <c r="N414">
        <v>0</v>
      </c>
      <c r="O414" t="b">
        <f t="shared" si="12"/>
        <v>1</v>
      </c>
      <c r="P414">
        <v>0</v>
      </c>
      <c r="Q414">
        <f t="shared" si="13"/>
        <v>0</v>
      </c>
      <c r="S414">
        <v>8</v>
      </c>
      <c r="T414" t="b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</row>
    <row r="415" spans="1:56" x14ac:dyDescent="0.3">
      <c r="A415" t="s">
        <v>118</v>
      </c>
      <c r="B415" t="s">
        <v>64</v>
      </c>
      <c r="C415">
        <v>2082</v>
      </c>
      <c r="D415">
        <v>4</v>
      </c>
      <c r="E415">
        <v>1</v>
      </c>
      <c r="F415" t="s">
        <v>70</v>
      </c>
      <c r="G415">
        <v>173755</v>
      </c>
      <c r="H415">
        <v>130</v>
      </c>
      <c r="I415">
        <v>150</v>
      </c>
      <c r="J415">
        <v>140</v>
      </c>
      <c r="K415" t="s">
        <v>58</v>
      </c>
      <c r="L415" t="s">
        <v>58</v>
      </c>
      <c r="M415" t="b">
        <v>0</v>
      </c>
      <c r="N415">
        <v>24325700</v>
      </c>
      <c r="O415" t="b">
        <f t="shared" si="12"/>
        <v>1</v>
      </c>
      <c r="P415">
        <v>173755</v>
      </c>
      <c r="Q415">
        <f t="shared" si="13"/>
        <v>0</v>
      </c>
      <c r="R415">
        <v>0.90518258467382195</v>
      </c>
      <c r="S415">
        <v>10</v>
      </c>
      <c r="T415" t="b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6290</v>
      </c>
      <c r="AB415">
        <v>480</v>
      </c>
      <c r="AC415">
        <v>0</v>
      </c>
      <c r="AD415">
        <v>0</v>
      </c>
      <c r="AE415">
        <v>157280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2155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700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1880</v>
      </c>
      <c r="BD415">
        <v>4970</v>
      </c>
    </row>
    <row r="416" spans="1:56" x14ac:dyDescent="0.3">
      <c r="A416" t="s">
        <v>118</v>
      </c>
      <c r="B416" t="s">
        <v>64</v>
      </c>
      <c r="C416">
        <v>2082</v>
      </c>
      <c r="D416">
        <v>5</v>
      </c>
      <c r="E416">
        <v>2</v>
      </c>
      <c r="F416" t="s">
        <v>65</v>
      </c>
      <c r="G416">
        <v>132490</v>
      </c>
      <c r="H416">
        <v>130</v>
      </c>
      <c r="I416">
        <v>280</v>
      </c>
      <c r="J416">
        <v>173.33</v>
      </c>
      <c r="K416" t="s">
        <v>58</v>
      </c>
      <c r="L416" t="s">
        <v>58</v>
      </c>
      <c r="M416" t="b">
        <v>0</v>
      </c>
      <c r="N416">
        <v>22964491.699999999</v>
      </c>
      <c r="O416" t="b">
        <f t="shared" si="12"/>
        <v>1</v>
      </c>
      <c r="P416">
        <v>132490</v>
      </c>
      <c r="Q416">
        <f t="shared" si="13"/>
        <v>0</v>
      </c>
      <c r="R416">
        <v>0.90320024152766198</v>
      </c>
      <c r="S416">
        <v>10</v>
      </c>
      <c r="T416" t="b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3810</v>
      </c>
      <c r="AB416">
        <v>570</v>
      </c>
      <c r="AC416">
        <v>0</v>
      </c>
      <c r="AD416">
        <v>0</v>
      </c>
      <c r="AE416">
        <v>119665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1335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210</v>
      </c>
      <c r="AR416">
        <v>0</v>
      </c>
      <c r="AS416">
        <v>0</v>
      </c>
      <c r="AT416">
        <v>1300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1950</v>
      </c>
      <c r="BD416">
        <v>3650</v>
      </c>
    </row>
    <row r="417" spans="1:56" x14ac:dyDescent="0.3">
      <c r="A417" t="s">
        <v>118</v>
      </c>
      <c r="B417" t="s">
        <v>64</v>
      </c>
      <c r="C417">
        <v>2082</v>
      </c>
      <c r="D417">
        <v>6</v>
      </c>
      <c r="E417">
        <v>3</v>
      </c>
      <c r="F417" t="s">
        <v>66</v>
      </c>
      <c r="G417">
        <v>131200</v>
      </c>
      <c r="H417">
        <v>150</v>
      </c>
      <c r="I417">
        <v>180</v>
      </c>
      <c r="J417">
        <v>165</v>
      </c>
      <c r="K417" t="s">
        <v>58</v>
      </c>
      <c r="L417" t="s">
        <v>58</v>
      </c>
      <c r="M417" t="b">
        <v>0</v>
      </c>
      <c r="N417">
        <v>21648000</v>
      </c>
      <c r="O417" t="b">
        <f t="shared" si="12"/>
        <v>1</v>
      </c>
      <c r="P417">
        <v>131200</v>
      </c>
      <c r="Q417">
        <f t="shared" si="13"/>
        <v>0</v>
      </c>
      <c r="R417">
        <v>0.89596036585365801</v>
      </c>
      <c r="S417">
        <v>10</v>
      </c>
      <c r="T417" t="b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540</v>
      </c>
      <c r="AB417">
        <v>3870</v>
      </c>
      <c r="AC417">
        <v>540</v>
      </c>
      <c r="AD417">
        <v>0</v>
      </c>
      <c r="AE417">
        <v>117550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2340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2150</v>
      </c>
      <c r="AR417">
        <v>0</v>
      </c>
      <c r="AS417">
        <v>0</v>
      </c>
      <c r="AT417">
        <v>780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770</v>
      </c>
      <c r="BD417">
        <v>2660</v>
      </c>
    </row>
    <row r="418" spans="1:56" x14ac:dyDescent="0.3">
      <c r="A418" t="s">
        <v>118</v>
      </c>
      <c r="B418" t="s">
        <v>64</v>
      </c>
      <c r="C418">
        <v>2082</v>
      </c>
      <c r="D418">
        <v>7</v>
      </c>
      <c r="E418">
        <v>4</v>
      </c>
      <c r="F418" t="s">
        <v>67</v>
      </c>
      <c r="G418">
        <v>159330</v>
      </c>
      <c r="H418">
        <v>120</v>
      </c>
      <c r="I418">
        <v>180</v>
      </c>
      <c r="J418">
        <v>146.58000000000001</v>
      </c>
      <c r="K418" t="s">
        <v>58</v>
      </c>
      <c r="L418" t="s">
        <v>58</v>
      </c>
      <c r="M418" t="b">
        <v>0</v>
      </c>
      <c r="N418">
        <v>23354591.399999999</v>
      </c>
      <c r="O418" t="b">
        <f t="shared" si="12"/>
        <v>1</v>
      </c>
      <c r="P418">
        <v>159330</v>
      </c>
      <c r="Q418">
        <f t="shared" si="13"/>
        <v>0</v>
      </c>
      <c r="R418">
        <v>0.86895123328939905</v>
      </c>
      <c r="S418">
        <v>10</v>
      </c>
      <c r="T418" t="b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1330</v>
      </c>
      <c r="AB418">
        <v>7230</v>
      </c>
      <c r="AC418">
        <v>2840</v>
      </c>
      <c r="AD418">
        <v>0</v>
      </c>
      <c r="AE418">
        <v>138450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2220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2070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5190</v>
      </c>
    </row>
    <row r="419" spans="1:56" x14ac:dyDescent="0.3">
      <c r="A419" t="s">
        <v>118</v>
      </c>
      <c r="B419" t="s">
        <v>64</v>
      </c>
      <c r="C419">
        <v>2082</v>
      </c>
      <c r="D419">
        <v>8</v>
      </c>
      <c r="E419">
        <v>5</v>
      </c>
      <c r="F419" t="s">
        <v>68</v>
      </c>
      <c r="G419">
        <v>158630</v>
      </c>
      <c r="H419">
        <v>100</v>
      </c>
      <c r="I419">
        <v>130</v>
      </c>
      <c r="J419">
        <v>121.84</v>
      </c>
      <c r="K419" t="s">
        <v>58</v>
      </c>
      <c r="L419" t="s">
        <v>58</v>
      </c>
      <c r="M419" t="b">
        <v>0</v>
      </c>
      <c r="N419">
        <v>19327479.199999999</v>
      </c>
      <c r="O419" t="b">
        <f t="shared" si="12"/>
        <v>1</v>
      </c>
      <c r="P419">
        <v>158630</v>
      </c>
      <c r="Q419">
        <f t="shared" si="13"/>
        <v>0</v>
      </c>
      <c r="R419">
        <v>0.93620374456281896</v>
      </c>
      <c r="S419">
        <v>10</v>
      </c>
      <c r="T419" t="b">
        <v>1</v>
      </c>
      <c r="U419">
        <v>350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1800</v>
      </c>
      <c r="AB419">
        <v>2250</v>
      </c>
      <c r="AC419">
        <v>2510</v>
      </c>
      <c r="AD419">
        <v>0</v>
      </c>
      <c r="AE419">
        <v>148510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435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750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420</v>
      </c>
      <c r="BD419">
        <v>1605</v>
      </c>
    </row>
    <row r="420" spans="1:56" x14ac:dyDescent="0.3">
      <c r="A420" t="s">
        <v>118</v>
      </c>
      <c r="B420" t="s">
        <v>64</v>
      </c>
      <c r="C420">
        <v>2082</v>
      </c>
      <c r="D420">
        <v>9</v>
      </c>
      <c r="E420">
        <v>6</v>
      </c>
      <c r="F420" t="s">
        <v>57</v>
      </c>
      <c r="G420">
        <v>298088</v>
      </c>
      <c r="H420">
        <v>100</v>
      </c>
      <c r="I420">
        <v>120</v>
      </c>
      <c r="J420">
        <v>110</v>
      </c>
      <c r="K420" t="s">
        <v>58</v>
      </c>
      <c r="L420" t="s">
        <v>58</v>
      </c>
      <c r="M420" t="b">
        <v>0</v>
      </c>
      <c r="N420">
        <v>32789680</v>
      </c>
      <c r="O420" t="b">
        <f t="shared" si="12"/>
        <v>1</v>
      </c>
      <c r="P420">
        <v>298088</v>
      </c>
      <c r="Q420">
        <f t="shared" si="13"/>
        <v>0</v>
      </c>
      <c r="R420">
        <v>0.94589517189554695</v>
      </c>
      <c r="S420">
        <v>10</v>
      </c>
      <c r="T420" t="b">
        <v>1</v>
      </c>
      <c r="U420">
        <v>4710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4940</v>
      </c>
      <c r="AB420">
        <v>210</v>
      </c>
      <c r="AC420">
        <v>1660</v>
      </c>
      <c r="AD420">
        <v>0</v>
      </c>
      <c r="AE420">
        <v>281960</v>
      </c>
      <c r="AF420">
        <v>0</v>
      </c>
      <c r="AG420">
        <v>18</v>
      </c>
      <c r="AH420">
        <v>0</v>
      </c>
      <c r="AI420">
        <v>0</v>
      </c>
      <c r="AJ420">
        <v>1445</v>
      </c>
      <c r="AK420">
        <v>15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1530</v>
      </c>
      <c r="BD420">
        <v>1600</v>
      </c>
    </row>
    <row r="421" spans="1:56" x14ac:dyDescent="0.3">
      <c r="A421" t="s">
        <v>118</v>
      </c>
      <c r="B421" t="s">
        <v>64</v>
      </c>
      <c r="C421">
        <v>2082</v>
      </c>
      <c r="D421">
        <v>10</v>
      </c>
      <c r="E421">
        <v>7</v>
      </c>
      <c r="F421" t="s">
        <v>59</v>
      </c>
      <c r="G421">
        <v>225285</v>
      </c>
      <c r="H421">
        <v>100</v>
      </c>
      <c r="I421">
        <v>320</v>
      </c>
      <c r="J421">
        <v>202</v>
      </c>
      <c r="K421" t="s">
        <v>58</v>
      </c>
      <c r="L421" t="s">
        <v>58</v>
      </c>
      <c r="M421" t="b">
        <v>0</v>
      </c>
      <c r="N421">
        <v>45507570</v>
      </c>
      <c r="O421" t="b">
        <f t="shared" si="12"/>
        <v>1</v>
      </c>
      <c r="P421">
        <v>225285</v>
      </c>
      <c r="Q421">
        <f t="shared" si="13"/>
        <v>0</v>
      </c>
      <c r="R421">
        <v>0.98779323967418997</v>
      </c>
      <c r="S421">
        <v>10</v>
      </c>
      <c r="T421" t="b">
        <v>1</v>
      </c>
      <c r="U421">
        <v>940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940</v>
      </c>
      <c r="AB421">
        <v>0</v>
      </c>
      <c r="AC421">
        <v>540</v>
      </c>
      <c r="AD421">
        <v>0</v>
      </c>
      <c r="AE421">
        <v>222535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210</v>
      </c>
      <c r="BD421">
        <v>120</v>
      </c>
    </row>
    <row r="422" spans="1:56" x14ac:dyDescent="0.3">
      <c r="A422" t="s">
        <v>118</v>
      </c>
      <c r="B422" t="s">
        <v>64</v>
      </c>
      <c r="C422">
        <v>2082</v>
      </c>
      <c r="D422">
        <v>11</v>
      </c>
      <c r="E422">
        <v>8</v>
      </c>
      <c r="F422" t="s">
        <v>60</v>
      </c>
      <c r="G422">
        <v>116740</v>
      </c>
      <c r="H422">
        <v>200</v>
      </c>
      <c r="I422">
        <v>320</v>
      </c>
      <c r="J422">
        <v>268.89</v>
      </c>
      <c r="K422" t="s">
        <v>58</v>
      </c>
      <c r="L422" t="s">
        <v>58</v>
      </c>
      <c r="M422" t="b">
        <v>0</v>
      </c>
      <c r="N422">
        <v>31390218.599999901</v>
      </c>
      <c r="O422" t="b">
        <f t="shared" si="12"/>
        <v>1</v>
      </c>
      <c r="P422">
        <v>116740</v>
      </c>
      <c r="Q422">
        <f t="shared" si="13"/>
        <v>0</v>
      </c>
      <c r="R422">
        <v>0.99220489977728199</v>
      </c>
      <c r="S422">
        <v>10</v>
      </c>
      <c r="T422" t="b">
        <v>1</v>
      </c>
      <c r="U422">
        <v>210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700</v>
      </c>
      <c r="AB422">
        <v>0</v>
      </c>
      <c r="AC422">
        <v>0</v>
      </c>
      <c r="AD422">
        <v>0</v>
      </c>
      <c r="AE422">
        <v>115830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</row>
    <row r="423" spans="1:56" x14ac:dyDescent="0.3">
      <c r="A423" t="s">
        <v>118</v>
      </c>
      <c r="B423" t="s">
        <v>64</v>
      </c>
      <c r="C423">
        <v>2082</v>
      </c>
      <c r="D423">
        <v>12</v>
      </c>
      <c r="E423">
        <v>9</v>
      </c>
      <c r="F423" t="s">
        <v>61</v>
      </c>
      <c r="G423">
        <v>193915</v>
      </c>
      <c r="H423">
        <v>260</v>
      </c>
      <c r="I423">
        <v>350</v>
      </c>
      <c r="J423">
        <v>309.32</v>
      </c>
      <c r="K423" t="s">
        <v>58</v>
      </c>
      <c r="L423" t="s">
        <v>58</v>
      </c>
      <c r="M423" t="b">
        <v>0</v>
      </c>
      <c r="N423">
        <v>59981787.799999997</v>
      </c>
      <c r="O423" t="b">
        <f t="shared" si="12"/>
        <v>1</v>
      </c>
      <c r="P423">
        <v>193915</v>
      </c>
      <c r="Q423">
        <f t="shared" si="13"/>
        <v>0</v>
      </c>
      <c r="R423">
        <v>1</v>
      </c>
      <c r="S423">
        <v>10</v>
      </c>
      <c r="T423" t="b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193915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</row>
    <row r="424" spans="1:56" x14ac:dyDescent="0.3">
      <c r="A424" t="s">
        <v>118</v>
      </c>
      <c r="B424" t="s">
        <v>64</v>
      </c>
      <c r="C424">
        <v>2083</v>
      </c>
      <c r="D424">
        <v>1</v>
      </c>
      <c r="E424">
        <v>10</v>
      </c>
      <c r="F424" t="s">
        <v>62</v>
      </c>
      <c r="G424">
        <v>116560</v>
      </c>
      <c r="H424">
        <v>250</v>
      </c>
      <c r="I424">
        <v>450</v>
      </c>
      <c r="J424">
        <v>363.04</v>
      </c>
      <c r="K424" t="s">
        <v>58</v>
      </c>
      <c r="L424" t="s">
        <v>58</v>
      </c>
      <c r="M424" t="b">
        <v>0</v>
      </c>
      <c r="N424">
        <v>42315942.399999999</v>
      </c>
      <c r="O424" t="b">
        <f t="shared" si="12"/>
        <v>1</v>
      </c>
      <c r="P424">
        <v>116560</v>
      </c>
      <c r="Q424">
        <f t="shared" si="13"/>
        <v>0</v>
      </c>
      <c r="R424">
        <v>1</v>
      </c>
      <c r="S424">
        <v>10</v>
      </c>
      <c r="T424" t="b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116560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</row>
    <row r="425" spans="1:56" x14ac:dyDescent="0.3">
      <c r="A425" t="s">
        <v>119</v>
      </c>
      <c r="B425" t="s">
        <v>64</v>
      </c>
      <c r="C425">
        <v>2082</v>
      </c>
      <c r="D425">
        <v>4</v>
      </c>
      <c r="E425">
        <v>1</v>
      </c>
      <c r="F425" t="s">
        <v>70</v>
      </c>
      <c r="G425">
        <v>43500</v>
      </c>
      <c r="H425">
        <v>230</v>
      </c>
      <c r="I425">
        <v>250</v>
      </c>
      <c r="J425">
        <v>240</v>
      </c>
      <c r="K425" t="s">
        <v>58</v>
      </c>
      <c r="L425" t="s">
        <v>58</v>
      </c>
      <c r="M425" t="b">
        <v>0</v>
      </c>
      <c r="N425">
        <v>10440000</v>
      </c>
      <c r="O425" t="b">
        <f t="shared" si="12"/>
        <v>1</v>
      </c>
      <c r="P425">
        <v>43500</v>
      </c>
      <c r="Q425">
        <f t="shared" si="13"/>
        <v>0</v>
      </c>
      <c r="R425">
        <v>1</v>
      </c>
      <c r="S425">
        <v>10</v>
      </c>
      <c r="T425" t="b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11665</v>
      </c>
      <c r="AA425">
        <v>0</v>
      </c>
      <c r="AB425">
        <v>0</v>
      </c>
      <c r="AC425">
        <v>0</v>
      </c>
      <c r="AD425">
        <v>0</v>
      </c>
      <c r="AE425">
        <v>31835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</row>
    <row r="426" spans="1:56" x14ac:dyDescent="0.3">
      <c r="A426" t="s">
        <v>119</v>
      </c>
      <c r="B426" t="s">
        <v>64</v>
      </c>
      <c r="C426">
        <v>2082</v>
      </c>
      <c r="D426">
        <v>5</v>
      </c>
      <c r="E426">
        <v>2</v>
      </c>
      <c r="F426" t="s">
        <v>65</v>
      </c>
      <c r="G426">
        <v>11430</v>
      </c>
      <c r="H426">
        <v>200</v>
      </c>
      <c r="I426">
        <v>250</v>
      </c>
      <c r="J426">
        <v>235</v>
      </c>
      <c r="K426" t="s">
        <v>58</v>
      </c>
      <c r="L426" t="s">
        <v>58</v>
      </c>
      <c r="M426" t="b">
        <v>0</v>
      </c>
      <c r="N426">
        <v>2686050</v>
      </c>
      <c r="O426" t="b">
        <f t="shared" si="12"/>
        <v>1</v>
      </c>
      <c r="P426">
        <v>11430</v>
      </c>
      <c r="Q426">
        <f t="shared" si="13"/>
        <v>0</v>
      </c>
      <c r="R426">
        <v>1</v>
      </c>
      <c r="S426">
        <v>10</v>
      </c>
      <c r="T426" t="b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9290</v>
      </c>
      <c r="AA426">
        <v>0</v>
      </c>
      <c r="AB426">
        <v>0</v>
      </c>
      <c r="AC426">
        <v>0</v>
      </c>
      <c r="AD426">
        <v>0</v>
      </c>
      <c r="AE426">
        <v>2140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</row>
    <row r="427" spans="1:56" x14ac:dyDescent="0.3">
      <c r="A427" t="s">
        <v>119</v>
      </c>
      <c r="B427" t="s">
        <v>64</v>
      </c>
      <c r="C427">
        <v>2082</v>
      </c>
      <c r="D427">
        <v>6</v>
      </c>
      <c r="E427">
        <v>3</v>
      </c>
      <c r="F427" t="s">
        <v>66</v>
      </c>
      <c r="G427">
        <v>35365</v>
      </c>
      <c r="H427">
        <v>230</v>
      </c>
      <c r="I427">
        <v>250</v>
      </c>
      <c r="J427">
        <v>240</v>
      </c>
      <c r="K427" t="s">
        <v>58</v>
      </c>
      <c r="L427" t="s">
        <v>58</v>
      </c>
      <c r="M427" t="b">
        <v>0</v>
      </c>
      <c r="N427">
        <v>8487600</v>
      </c>
      <c r="O427" t="b">
        <f t="shared" si="12"/>
        <v>1</v>
      </c>
      <c r="P427">
        <v>35365</v>
      </c>
      <c r="Q427">
        <f t="shared" si="13"/>
        <v>0</v>
      </c>
      <c r="R427">
        <v>1</v>
      </c>
      <c r="S427">
        <v>10</v>
      </c>
      <c r="T427" t="b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13710</v>
      </c>
      <c r="AA427">
        <v>0</v>
      </c>
      <c r="AB427">
        <v>0</v>
      </c>
      <c r="AC427">
        <v>0</v>
      </c>
      <c r="AD427">
        <v>0</v>
      </c>
      <c r="AE427">
        <v>21655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</row>
    <row r="428" spans="1:56" x14ac:dyDescent="0.3">
      <c r="A428" t="s">
        <v>119</v>
      </c>
      <c r="B428" t="s">
        <v>64</v>
      </c>
      <c r="C428">
        <v>2082</v>
      </c>
      <c r="D428">
        <v>7</v>
      </c>
      <c r="E428">
        <v>4</v>
      </c>
      <c r="F428" t="s">
        <v>67</v>
      </c>
      <c r="G428">
        <v>23920</v>
      </c>
      <c r="H428">
        <v>230</v>
      </c>
      <c r="I428">
        <v>250</v>
      </c>
      <c r="J428">
        <v>240</v>
      </c>
      <c r="K428" t="s">
        <v>58</v>
      </c>
      <c r="L428" t="s">
        <v>58</v>
      </c>
      <c r="M428" t="b">
        <v>0</v>
      </c>
      <c r="N428">
        <v>5740800</v>
      </c>
      <c r="O428" t="b">
        <f t="shared" si="12"/>
        <v>1</v>
      </c>
      <c r="P428">
        <v>23920</v>
      </c>
      <c r="Q428">
        <f t="shared" si="13"/>
        <v>0</v>
      </c>
      <c r="R428">
        <v>1</v>
      </c>
      <c r="S428">
        <v>10</v>
      </c>
      <c r="T428" t="b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7655</v>
      </c>
      <c r="AA428">
        <v>0</v>
      </c>
      <c r="AB428">
        <v>0</v>
      </c>
      <c r="AC428">
        <v>0</v>
      </c>
      <c r="AD428">
        <v>0</v>
      </c>
      <c r="AE428">
        <v>16265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</row>
    <row r="429" spans="1:56" x14ac:dyDescent="0.3">
      <c r="A429" t="s">
        <v>119</v>
      </c>
      <c r="B429" t="s">
        <v>64</v>
      </c>
      <c r="C429">
        <v>2082</v>
      </c>
      <c r="D429">
        <v>8</v>
      </c>
      <c r="E429">
        <v>5</v>
      </c>
      <c r="F429" t="s">
        <v>68</v>
      </c>
      <c r="G429">
        <v>1560</v>
      </c>
      <c r="H429">
        <v>230</v>
      </c>
      <c r="I429">
        <v>250</v>
      </c>
      <c r="J429">
        <v>240</v>
      </c>
      <c r="K429" t="s">
        <v>58</v>
      </c>
      <c r="L429" t="s">
        <v>58</v>
      </c>
      <c r="M429" t="b">
        <v>0</v>
      </c>
      <c r="N429">
        <v>374400</v>
      </c>
      <c r="O429" t="b">
        <f t="shared" si="12"/>
        <v>1</v>
      </c>
      <c r="P429">
        <v>1560</v>
      </c>
      <c r="Q429">
        <f t="shared" si="13"/>
        <v>0</v>
      </c>
      <c r="R429">
        <v>1</v>
      </c>
      <c r="S429">
        <v>10</v>
      </c>
      <c r="T429" t="b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540</v>
      </c>
      <c r="AA429">
        <v>0</v>
      </c>
      <c r="AB429">
        <v>0</v>
      </c>
      <c r="AC429">
        <v>0</v>
      </c>
      <c r="AD429">
        <v>0</v>
      </c>
      <c r="AE429">
        <v>1020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</row>
    <row r="430" spans="1:56" x14ac:dyDescent="0.3">
      <c r="A430" t="s">
        <v>119</v>
      </c>
      <c r="B430" t="s">
        <v>64</v>
      </c>
      <c r="C430">
        <v>2082</v>
      </c>
      <c r="D430">
        <v>9</v>
      </c>
      <c r="E430">
        <v>6</v>
      </c>
      <c r="F430" t="s">
        <v>57</v>
      </c>
      <c r="G430">
        <v>1150</v>
      </c>
      <c r="H430">
        <v>230</v>
      </c>
      <c r="I430">
        <v>250</v>
      </c>
      <c r="J430">
        <v>240</v>
      </c>
      <c r="K430" t="s">
        <v>58</v>
      </c>
      <c r="L430" t="s">
        <v>58</v>
      </c>
      <c r="M430" t="b">
        <v>0</v>
      </c>
      <c r="N430">
        <v>276000</v>
      </c>
      <c r="O430" t="b">
        <f t="shared" si="12"/>
        <v>1</v>
      </c>
      <c r="P430">
        <v>1150</v>
      </c>
      <c r="Q430">
        <f t="shared" si="13"/>
        <v>0</v>
      </c>
      <c r="R430">
        <v>1</v>
      </c>
      <c r="S430">
        <v>10</v>
      </c>
      <c r="T430" t="b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1150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</row>
    <row r="431" spans="1:56" x14ac:dyDescent="0.3">
      <c r="A431" t="s">
        <v>119</v>
      </c>
      <c r="B431" t="s">
        <v>64</v>
      </c>
      <c r="C431">
        <v>2082</v>
      </c>
      <c r="D431">
        <v>10</v>
      </c>
      <c r="E431">
        <v>7</v>
      </c>
      <c r="F431" t="s">
        <v>59</v>
      </c>
      <c r="G431">
        <v>14930</v>
      </c>
      <c r="H431">
        <v>230</v>
      </c>
      <c r="I431">
        <v>250</v>
      </c>
      <c r="J431">
        <v>240</v>
      </c>
      <c r="K431" t="s">
        <v>58</v>
      </c>
      <c r="L431" t="s">
        <v>58</v>
      </c>
      <c r="M431" t="b">
        <v>0</v>
      </c>
      <c r="N431">
        <v>3583200</v>
      </c>
      <c r="O431" t="b">
        <f t="shared" si="12"/>
        <v>1</v>
      </c>
      <c r="P431">
        <v>14930</v>
      </c>
      <c r="Q431">
        <f t="shared" si="13"/>
        <v>0</v>
      </c>
      <c r="R431">
        <v>1</v>
      </c>
      <c r="S431">
        <v>10</v>
      </c>
      <c r="T431" t="b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14930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</row>
    <row r="432" spans="1:56" x14ac:dyDescent="0.3">
      <c r="A432" t="s">
        <v>119</v>
      </c>
      <c r="B432" t="s">
        <v>64</v>
      </c>
      <c r="C432">
        <v>2082</v>
      </c>
      <c r="D432">
        <v>11</v>
      </c>
      <c r="E432">
        <v>8</v>
      </c>
      <c r="F432" t="s">
        <v>60</v>
      </c>
      <c r="G432">
        <v>10500</v>
      </c>
      <c r="H432">
        <v>300</v>
      </c>
      <c r="I432">
        <v>300</v>
      </c>
      <c r="J432">
        <v>300</v>
      </c>
      <c r="K432" t="s">
        <v>58</v>
      </c>
      <c r="L432" t="s">
        <v>58</v>
      </c>
      <c r="M432" t="b">
        <v>0</v>
      </c>
      <c r="N432">
        <v>3150000</v>
      </c>
      <c r="O432" t="b">
        <f t="shared" si="12"/>
        <v>1</v>
      </c>
      <c r="P432">
        <v>10500</v>
      </c>
      <c r="Q432">
        <f t="shared" si="13"/>
        <v>0</v>
      </c>
      <c r="R432">
        <v>1</v>
      </c>
      <c r="S432">
        <v>10</v>
      </c>
      <c r="T432" t="b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10500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</row>
    <row r="433" spans="1:56" x14ac:dyDescent="0.3">
      <c r="A433" t="s">
        <v>119</v>
      </c>
      <c r="B433" t="s">
        <v>64</v>
      </c>
      <c r="C433">
        <v>2082</v>
      </c>
      <c r="D433">
        <v>12</v>
      </c>
      <c r="E433">
        <v>9</v>
      </c>
      <c r="F433" t="s">
        <v>61</v>
      </c>
      <c r="G433">
        <v>37025</v>
      </c>
      <c r="H433">
        <v>230</v>
      </c>
      <c r="I433">
        <v>250</v>
      </c>
      <c r="J433">
        <v>240</v>
      </c>
      <c r="K433" t="s">
        <v>58</v>
      </c>
      <c r="L433" t="s">
        <v>58</v>
      </c>
      <c r="M433" t="b">
        <v>0</v>
      </c>
      <c r="N433">
        <v>8886000</v>
      </c>
      <c r="O433" t="b">
        <f t="shared" si="12"/>
        <v>1</v>
      </c>
      <c r="P433">
        <v>37025</v>
      </c>
      <c r="Q433">
        <f t="shared" si="13"/>
        <v>0</v>
      </c>
      <c r="R433">
        <v>1</v>
      </c>
      <c r="S433">
        <v>10</v>
      </c>
      <c r="T433" t="b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2260</v>
      </c>
      <c r="AA433">
        <v>0</v>
      </c>
      <c r="AB433">
        <v>0</v>
      </c>
      <c r="AC433">
        <v>0</v>
      </c>
      <c r="AD433">
        <v>0</v>
      </c>
      <c r="AE433">
        <v>34765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</row>
    <row r="434" spans="1:56" x14ac:dyDescent="0.3">
      <c r="A434" t="s">
        <v>119</v>
      </c>
      <c r="B434" t="s">
        <v>64</v>
      </c>
      <c r="C434">
        <v>2083</v>
      </c>
      <c r="D434">
        <v>1</v>
      </c>
      <c r="E434">
        <v>10</v>
      </c>
      <c r="F434" t="s">
        <v>62</v>
      </c>
      <c r="G434">
        <v>43155</v>
      </c>
      <c r="H434">
        <v>230</v>
      </c>
      <c r="I434">
        <v>250</v>
      </c>
      <c r="J434">
        <v>240</v>
      </c>
      <c r="K434" t="s">
        <v>58</v>
      </c>
      <c r="L434" t="s">
        <v>58</v>
      </c>
      <c r="M434" t="b">
        <v>0</v>
      </c>
      <c r="N434">
        <v>10357200</v>
      </c>
      <c r="O434" t="b">
        <f t="shared" si="12"/>
        <v>1</v>
      </c>
      <c r="P434">
        <v>43155</v>
      </c>
      <c r="Q434">
        <f t="shared" si="13"/>
        <v>0</v>
      </c>
      <c r="R434">
        <v>1</v>
      </c>
      <c r="S434">
        <v>10</v>
      </c>
      <c r="T434" t="b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8445</v>
      </c>
      <c r="AA434">
        <v>0</v>
      </c>
      <c r="AB434">
        <v>0</v>
      </c>
      <c r="AC434">
        <v>0</v>
      </c>
      <c r="AD434">
        <v>0</v>
      </c>
      <c r="AE434">
        <v>34710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</row>
    <row r="435" spans="1:56" x14ac:dyDescent="0.3">
      <c r="A435" t="s">
        <v>120</v>
      </c>
      <c r="B435" t="s">
        <v>64</v>
      </c>
      <c r="C435">
        <v>2082</v>
      </c>
      <c r="D435">
        <v>4</v>
      </c>
      <c r="E435">
        <v>1</v>
      </c>
      <c r="F435" t="s">
        <v>70</v>
      </c>
      <c r="G435">
        <v>465323</v>
      </c>
      <c r="H435">
        <v>80</v>
      </c>
      <c r="I435">
        <v>180</v>
      </c>
      <c r="J435">
        <v>135.19999999999999</v>
      </c>
      <c r="K435" t="s">
        <v>58</v>
      </c>
      <c r="L435" t="s">
        <v>58</v>
      </c>
      <c r="M435" t="b">
        <v>0</v>
      </c>
      <c r="N435">
        <v>62911669.599999897</v>
      </c>
      <c r="O435" t="b">
        <f t="shared" si="12"/>
        <v>1</v>
      </c>
      <c r="P435">
        <v>465323</v>
      </c>
      <c r="Q435">
        <f t="shared" si="13"/>
        <v>0</v>
      </c>
      <c r="R435">
        <v>0.94714424174175704</v>
      </c>
      <c r="S435">
        <v>10</v>
      </c>
      <c r="T435" t="b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4230</v>
      </c>
      <c r="AA435">
        <v>8900</v>
      </c>
      <c r="AB435">
        <v>0</v>
      </c>
      <c r="AC435">
        <v>1120</v>
      </c>
      <c r="AD435">
        <v>0</v>
      </c>
      <c r="AE435">
        <v>436498</v>
      </c>
      <c r="AF435">
        <v>0</v>
      </c>
      <c r="AG435">
        <v>0</v>
      </c>
      <c r="AH435">
        <v>0</v>
      </c>
      <c r="AI435">
        <v>14055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520</v>
      </c>
    </row>
    <row r="436" spans="1:56" x14ac:dyDescent="0.3">
      <c r="A436" t="s">
        <v>120</v>
      </c>
      <c r="B436" t="s">
        <v>64</v>
      </c>
      <c r="C436">
        <v>2082</v>
      </c>
      <c r="D436">
        <v>5</v>
      </c>
      <c r="E436">
        <v>2</v>
      </c>
      <c r="F436" t="s">
        <v>65</v>
      </c>
      <c r="G436">
        <v>53051</v>
      </c>
      <c r="H436">
        <v>60</v>
      </c>
      <c r="I436">
        <v>180</v>
      </c>
      <c r="J436">
        <v>108.47</v>
      </c>
      <c r="K436" t="s">
        <v>58</v>
      </c>
      <c r="L436" t="s">
        <v>58</v>
      </c>
      <c r="M436" t="b">
        <v>0</v>
      </c>
      <c r="N436">
        <v>5754441.9699999997</v>
      </c>
      <c r="O436" t="b">
        <f t="shared" si="12"/>
        <v>1</v>
      </c>
      <c r="P436">
        <v>53051</v>
      </c>
      <c r="Q436">
        <f t="shared" si="13"/>
        <v>0</v>
      </c>
      <c r="R436">
        <v>1</v>
      </c>
      <c r="S436">
        <v>10</v>
      </c>
      <c r="T436" t="b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17335</v>
      </c>
      <c r="AA436">
        <v>0</v>
      </c>
      <c r="AB436">
        <v>0</v>
      </c>
      <c r="AC436">
        <v>0</v>
      </c>
      <c r="AD436">
        <v>0</v>
      </c>
      <c r="AE436">
        <v>35716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</row>
    <row r="437" spans="1:56" x14ac:dyDescent="0.3">
      <c r="A437" t="s">
        <v>120</v>
      </c>
      <c r="B437" t="s">
        <v>64</v>
      </c>
      <c r="C437">
        <v>2082</v>
      </c>
      <c r="D437">
        <v>6</v>
      </c>
      <c r="E437">
        <v>3</v>
      </c>
      <c r="F437" t="s">
        <v>66</v>
      </c>
      <c r="G437">
        <v>13130</v>
      </c>
      <c r="H437">
        <v>250</v>
      </c>
      <c r="I437">
        <v>300</v>
      </c>
      <c r="J437">
        <v>268.13</v>
      </c>
      <c r="K437" t="s">
        <v>58</v>
      </c>
      <c r="L437" t="s">
        <v>58</v>
      </c>
      <c r="M437" t="b">
        <v>0</v>
      </c>
      <c r="N437">
        <v>3520546.9</v>
      </c>
      <c r="O437" t="b">
        <f t="shared" si="12"/>
        <v>1</v>
      </c>
      <c r="P437">
        <v>13130</v>
      </c>
      <c r="Q437">
        <f t="shared" si="13"/>
        <v>0</v>
      </c>
      <c r="R437">
        <v>1</v>
      </c>
      <c r="S437">
        <v>10</v>
      </c>
      <c r="T437" t="b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11550</v>
      </c>
      <c r="AA437">
        <v>0</v>
      </c>
      <c r="AB437">
        <v>0</v>
      </c>
      <c r="AC437">
        <v>0</v>
      </c>
      <c r="AD437">
        <v>0</v>
      </c>
      <c r="AE437">
        <v>1580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</row>
    <row r="438" spans="1:56" x14ac:dyDescent="0.3">
      <c r="A438" t="s">
        <v>120</v>
      </c>
      <c r="B438" t="s">
        <v>64</v>
      </c>
      <c r="C438">
        <v>2082</v>
      </c>
      <c r="D438">
        <v>7</v>
      </c>
      <c r="E438">
        <v>4</v>
      </c>
      <c r="F438" t="s">
        <v>67</v>
      </c>
      <c r="G438">
        <v>9060</v>
      </c>
      <c r="H438">
        <v>280</v>
      </c>
      <c r="I438">
        <v>300</v>
      </c>
      <c r="J438">
        <v>290</v>
      </c>
      <c r="K438" t="s">
        <v>58</v>
      </c>
      <c r="L438" t="s">
        <v>58</v>
      </c>
      <c r="M438" t="b">
        <v>0</v>
      </c>
      <c r="N438">
        <v>2627400</v>
      </c>
      <c r="O438" t="b">
        <f t="shared" si="12"/>
        <v>1</v>
      </c>
      <c r="P438">
        <v>9060</v>
      </c>
      <c r="Q438">
        <f t="shared" si="13"/>
        <v>0</v>
      </c>
      <c r="R438">
        <v>1</v>
      </c>
      <c r="S438">
        <v>10</v>
      </c>
      <c r="T438" t="b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4670</v>
      </c>
      <c r="AA438">
        <v>0</v>
      </c>
      <c r="AB438">
        <v>0</v>
      </c>
      <c r="AC438">
        <v>0</v>
      </c>
      <c r="AD438">
        <v>0</v>
      </c>
      <c r="AE438">
        <v>4390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</row>
    <row r="439" spans="1:56" x14ac:dyDescent="0.3">
      <c r="A439" t="s">
        <v>120</v>
      </c>
      <c r="B439" t="s">
        <v>64</v>
      </c>
      <c r="C439">
        <v>2082</v>
      </c>
      <c r="D439">
        <v>8</v>
      </c>
      <c r="E439">
        <v>5</v>
      </c>
      <c r="F439" t="s">
        <v>68</v>
      </c>
      <c r="G439">
        <v>2010</v>
      </c>
      <c r="H439">
        <v>280</v>
      </c>
      <c r="I439">
        <v>300</v>
      </c>
      <c r="J439">
        <v>290</v>
      </c>
      <c r="K439" t="s">
        <v>58</v>
      </c>
      <c r="L439" t="s">
        <v>58</v>
      </c>
      <c r="M439" t="b">
        <v>0</v>
      </c>
      <c r="N439">
        <v>582900</v>
      </c>
      <c r="O439" t="b">
        <f t="shared" si="12"/>
        <v>1</v>
      </c>
      <c r="P439">
        <v>2010</v>
      </c>
      <c r="Q439">
        <f t="shared" si="13"/>
        <v>0</v>
      </c>
      <c r="R439">
        <v>1</v>
      </c>
      <c r="S439">
        <v>10</v>
      </c>
      <c r="T439" t="b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2010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</row>
    <row r="440" spans="1:56" x14ac:dyDescent="0.3">
      <c r="A440" t="s">
        <v>120</v>
      </c>
      <c r="B440" t="s">
        <v>64</v>
      </c>
      <c r="C440">
        <v>2082</v>
      </c>
      <c r="D440">
        <v>9</v>
      </c>
      <c r="E440">
        <v>6</v>
      </c>
      <c r="F440" t="s">
        <v>57</v>
      </c>
      <c r="G440">
        <v>5140</v>
      </c>
      <c r="H440">
        <v>280</v>
      </c>
      <c r="I440">
        <v>500</v>
      </c>
      <c r="J440">
        <v>323.64</v>
      </c>
      <c r="K440" t="s">
        <v>58</v>
      </c>
      <c r="L440" t="s">
        <v>58</v>
      </c>
      <c r="M440" t="b">
        <v>0</v>
      </c>
      <c r="N440">
        <v>1663509.5999999901</v>
      </c>
      <c r="O440" t="b">
        <f t="shared" si="12"/>
        <v>1</v>
      </c>
      <c r="P440">
        <v>5140</v>
      </c>
      <c r="Q440">
        <f t="shared" si="13"/>
        <v>0</v>
      </c>
      <c r="R440">
        <v>1</v>
      </c>
      <c r="S440">
        <v>10</v>
      </c>
      <c r="T440" t="b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240</v>
      </c>
      <c r="AA440">
        <v>0</v>
      </c>
      <c r="AB440">
        <v>0</v>
      </c>
      <c r="AC440">
        <v>0</v>
      </c>
      <c r="AD440">
        <v>0</v>
      </c>
      <c r="AE440">
        <v>4900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</row>
    <row r="441" spans="1:56" x14ac:dyDescent="0.3">
      <c r="A441" t="s">
        <v>120</v>
      </c>
      <c r="B441" t="s">
        <v>64</v>
      </c>
      <c r="C441">
        <v>2082</v>
      </c>
      <c r="D441">
        <v>10</v>
      </c>
      <c r="E441">
        <v>7</v>
      </c>
      <c r="F441" t="s">
        <v>59</v>
      </c>
      <c r="G441">
        <v>3030</v>
      </c>
      <c r="H441">
        <v>350</v>
      </c>
      <c r="I441">
        <v>500</v>
      </c>
      <c r="J441">
        <v>400.71</v>
      </c>
      <c r="K441" t="s">
        <v>58</v>
      </c>
      <c r="L441" t="s">
        <v>58</v>
      </c>
      <c r="M441" t="b">
        <v>0</v>
      </c>
      <c r="N441">
        <v>1214151.3</v>
      </c>
      <c r="O441" t="b">
        <f t="shared" si="12"/>
        <v>1</v>
      </c>
      <c r="P441">
        <v>3030</v>
      </c>
      <c r="Q441">
        <f t="shared" si="13"/>
        <v>0</v>
      </c>
      <c r="R441">
        <v>1</v>
      </c>
      <c r="S441">
        <v>10</v>
      </c>
      <c r="T441" t="b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3030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</row>
    <row r="442" spans="1:56" x14ac:dyDescent="0.3">
      <c r="A442" t="s">
        <v>120</v>
      </c>
      <c r="B442" t="s">
        <v>64</v>
      </c>
      <c r="C442">
        <v>2082</v>
      </c>
      <c r="D442">
        <v>11</v>
      </c>
      <c r="E442">
        <v>8</v>
      </c>
      <c r="F442" t="s">
        <v>60</v>
      </c>
      <c r="G442">
        <v>3560</v>
      </c>
      <c r="H442">
        <v>350</v>
      </c>
      <c r="I442">
        <v>400</v>
      </c>
      <c r="J442">
        <v>375</v>
      </c>
      <c r="K442" t="s">
        <v>58</v>
      </c>
      <c r="L442" t="s">
        <v>58</v>
      </c>
      <c r="M442" t="b">
        <v>0</v>
      </c>
      <c r="N442">
        <v>1335000</v>
      </c>
      <c r="O442" t="b">
        <f t="shared" si="12"/>
        <v>1</v>
      </c>
      <c r="P442">
        <v>3560</v>
      </c>
      <c r="Q442">
        <f t="shared" si="13"/>
        <v>0</v>
      </c>
      <c r="R442">
        <v>1</v>
      </c>
      <c r="S442">
        <v>10</v>
      </c>
      <c r="T442" t="b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3560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</row>
    <row r="443" spans="1:56" x14ac:dyDescent="0.3">
      <c r="A443" t="s">
        <v>120</v>
      </c>
      <c r="B443" t="s">
        <v>64</v>
      </c>
      <c r="C443">
        <v>2082</v>
      </c>
      <c r="D443">
        <v>12</v>
      </c>
      <c r="E443">
        <v>9</v>
      </c>
      <c r="F443" t="s">
        <v>61</v>
      </c>
      <c r="G443">
        <v>25620</v>
      </c>
      <c r="H443">
        <v>350</v>
      </c>
      <c r="I443">
        <v>400</v>
      </c>
      <c r="J443">
        <v>375</v>
      </c>
      <c r="K443" t="s">
        <v>58</v>
      </c>
      <c r="L443" t="s">
        <v>58</v>
      </c>
      <c r="M443" t="b">
        <v>0</v>
      </c>
      <c r="N443">
        <v>9607500</v>
      </c>
      <c r="O443" t="b">
        <f t="shared" si="12"/>
        <v>1</v>
      </c>
      <c r="P443">
        <v>25620</v>
      </c>
      <c r="Q443">
        <f t="shared" si="13"/>
        <v>0</v>
      </c>
      <c r="R443">
        <v>1</v>
      </c>
      <c r="S443">
        <v>10</v>
      </c>
      <c r="T443" t="b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25620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</row>
    <row r="444" spans="1:56" x14ac:dyDescent="0.3">
      <c r="A444" t="s">
        <v>120</v>
      </c>
      <c r="B444" t="s">
        <v>64</v>
      </c>
      <c r="C444">
        <v>2083</v>
      </c>
      <c r="D444">
        <v>1</v>
      </c>
      <c r="E444">
        <v>10</v>
      </c>
      <c r="F444" t="s">
        <v>62</v>
      </c>
      <c r="G444">
        <v>123330</v>
      </c>
      <c r="H444">
        <v>150</v>
      </c>
      <c r="I444">
        <v>250</v>
      </c>
      <c r="J444">
        <v>198.26</v>
      </c>
      <c r="K444" t="s">
        <v>58</v>
      </c>
      <c r="L444" t="s">
        <v>58</v>
      </c>
      <c r="M444" t="b">
        <v>0</v>
      </c>
      <c r="N444">
        <v>24451405.7999999</v>
      </c>
      <c r="O444" t="b">
        <f t="shared" si="12"/>
        <v>1</v>
      </c>
      <c r="P444">
        <v>123330</v>
      </c>
      <c r="Q444">
        <f t="shared" si="13"/>
        <v>0</v>
      </c>
      <c r="R444">
        <v>1</v>
      </c>
      <c r="S444">
        <v>10</v>
      </c>
      <c r="T444" t="b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123330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</row>
    <row r="445" spans="1:56" x14ac:dyDescent="0.3">
      <c r="A445" t="s">
        <v>121</v>
      </c>
      <c r="B445" t="s">
        <v>64</v>
      </c>
      <c r="C445">
        <v>2083</v>
      </c>
      <c r="D445">
        <v>1</v>
      </c>
      <c r="E445">
        <v>10</v>
      </c>
      <c r="F445" t="s">
        <v>62</v>
      </c>
      <c r="G445">
        <v>26190</v>
      </c>
      <c r="H445">
        <v>0</v>
      </c>
      <c r="I445">
        <v>0</v>
      </c>
      <c r="J445">
        <v>95</v>
      </c>
      <c r="K445" t="s">
        <v>58</v>
      </c>
      <c r="L445" t="s">
        <v>58</v>
      </c>
      <c r="M445" t="b">
        <v>0</v>
      </c>
      <c r="N445">
        <v>2488050</v>
      </c>
      <c r="O445" t="b">
        <f t="shared" si="12"/>
        <v>1</v>
      </c>
      <c r="P445">
        <v>26190</v>
      </c>
      <c r="Q445">
        <f t="shared" si="13"/>
        <v>0</v>
      </c>
      <c r="R445">
        <v>1</v>
      </c>
      <c r="S445">
        <v>1</v>
      </c>
      <c r="T445" t="b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26190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</row>
    <row r="446" spans="1:56" x14ac:dyDescent="0.3">
      <c r="A446" t="s">
        <v>122</v>
      </c>
      <c r="B446" t="s">
        <v>64</v>
      </c>
      <c r="C446">
        <v>2082</v>
      </c>
      <c r="D446">
        <v>5</v>
      </c>
      <c r="E446">
        <v>2</v>
      </c>
      <c r="F446" t="s">
        <v>65</v>
      </c>
      <c r="G446">
        <v>330</v>
      </c>
      <c r="H446">
        <v>0</v>
      </c>
      <c r="I446">
        <v>0</v>
      </c>
      <c r="J446">
        <v>110</v>
      </c>
      <c r="K446" t="s">
        <v>58</v>
      </c>
      <c r="L446" t="s">
        <v>58</v>
      </c>
      <c r="M446" t="b">
        <v>0</v>
      </c>
      <c r="N446">
        <v>36300</v>
      </c>
      <c r="O446" t="b">
        <f t="shared" si="12"/>
        <v>1</v>
      </c>
      <c r="P446">
        <v>330</v>
      </c>
      <c r="Q446">
        <f t="shared" si="13"/>
        <v>0</v>
      </c>
      <c r="R446">
        <v>0</v>
      </c>
      <c r="S446">
        <v>6</v>
      </c>
      <c r="T446" t="b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330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</row>
    <row r="447" spans="1:56" x14ac:dyDescent="0.3">
      <c r="A447" t="s">
        <v>122</v>
      </c>
      <c r="B447" t="s">
        <v>64</v>
      </c>
      <c r="C447">
        <v>2082</v>
      </c>
      <c r="D447">
        <v>6</v>
      </c>
      <c r="E447">
        <v>3</v>
      </c>
      <c r="F447" t="s">
        <v>66</v>
      </c>
      <c r="G447">
        <v>210</v>
      </c>
      <c r="H447">
        <v>150</v>
      </c>
      <c r="I447">
        <v>150</v>
      </c>
      <c r="J447">
        <v>150</v>
      </c>
      <c r="K447" t="s">
        <v>58</v>
      </c>
      <c r="L447" t="s">
        <v>58</v>
      </c>
      <c r="M447" t="b">
        <v>0</v>
      </c>
      <c r="N447">
        <v>31500</v>
      </c>
      <c r="O447" t="b">
        <f t="shared" si="12"/>
        <v>1</v>
      </c>
      <c r="P447">
        <v>210</v>
      </c>
      <c r="Q447">
        <f t="shared" si="13"/>
        <v>0</v>
      </c>
      <c r="R447">
        <v>0</v>
      </c>
      <c r="S447">
        <v>6</v>
      </c>
      <c r="T447" t="b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210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</row>
    <row r="448" spans="1:56" x14ac:dyDescent="0.3">
      <c r="A448" t="s">
        <v>122</v>
      </c>
      <c r="B448" t="s">
        <v>64</v>
      </c>
      <c r="C448">
        <v>2082</v>
      </c>
      <c r="D448">
        <v>7</v>
      </c>
      <c r="E448">
        <v>4</v>
      </c>
      <c r="F448" t="s">
        <v>67</v>
      </c>
      <c r="G448">
        <v>780</v>
      </c>
      <c r="H448">
        <v>70</v>
      </c>
      <c r="I448">
        <v>150</v>
      </c>
      <c r="J448">
        <v>110.53</v>
      </c>
      <c r="K448" t="s">
        <v>58</v>
      </c>
      <c r="L448" t="s">
        <v>58</v>
      </c>
      <c r="M448" t="b">
        <v>0</v>
      </c>
      <c r="N448">
        <v>86213.4</v>
      </c>
      <c r="O448" t="b">
        <f t="shared" si="12"/>
        <v>1</v>
      </c>
      <c r="P448">
        <v>780</v>
      </c>
      <c r="Q448">
        <f t="shared" si="13"/>
        <v>0</v>
      </c>
      <c r="R448">
        <v>0</v>
      </c>
      <c r="S448">
        <v>6</v>
      </c>
      <c r="T448" t="b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450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120</v>
      </c>
      <c r="AS448">
        <v>0</v>
      </c>
      <c r="AT448">
        <v>0</v>
      </c>
      <c r="AU448">
        <v>210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</row>
    <row r="449" spans="1:56" x14ac:dyDescent="0.3">
      <c r="A449" t="s">
        <v>122</v>
      </c>
      <c r="B449" t="s">
        <v>64</v>
      </c>
      <c r="C449">
        <v>2082</v>
      </c>
      <c r="D449">
        <v>8</v>
      </c>
      <c r="E449">
        <v>5</v>
      </c>
      <c r="F449" t="s">
        <v>68</v>
      </c>
      <c r="G449">
        <v>1400</v>
      </c>
      <c r="H449">
        <v>70</v>
      </c>
      <c r="I449">
        <v>100</v>
      </c>
      <c r="J449">
        <v>88.95</v>
      </c>
      <c r="K449" t="s">
        <v>58</v>
      </c>
      <c r="L449" t="s">
        <v>58</v>
      </c>
      <c r="M449" t="b">
        <v>0</v>
      </c>
      <c r="N449">
        <v>124530</v>
      </c>
      <c r="O449" t="b">
        <f t="shared" si="12"/>
        <v>1</v>
      </c>
      <c r="P449">
        <v>1400</v>
      </c>
      <c r="Q449">
        <f t="shared" si="13"/>
        <v>0</v>
      </c>
      <c r="R449">
        <v>0</v>
      </c>
      <c r="S449">
        <v>6</v>
      </c>
      <c r="T449" t="b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660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740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</row>
    <row r="450" spans="1:56" x14ac:dyDescent="0.3">
      <c r="A450" t="s">
        <v>122</v>
      </c>
      <c r="B450" t="s">
        <v>64</v>
      </c>
      <c r="C450">
        <v>2082</v>
      </c>
      <c r="D450">
        <v>9</v>
      </c>
      <c r="E450">
        <v>6</v>
      </c>
      <c r="F450" t="s">
        <v>57</v>
      </c>
      <c r="G450">
        <v>7975</v>
      </c>
      <c r="H450">
        <v>100</v>
      </c>
      <c r="I450">
        <v>100</v>
      </c>
      <c r="J450">
        <v>100</v>
      </c>
      <c r="K450" t="s">
        <v>58</v>
      </c>
      <c r="L450" t="s">
        <v>58</v>
      </c>
      <c r="M450" t="b">
        <v>0</v>
      </c>
      <c r="N450">
        <v>797500</v>
      </c>
      <c r="O450" t="b">
        <f t="shared" ref="O450:O513" si="14">IF(P450=G450,TRUE,FALSE)</f>
        <v>1</v>
      </c>
      <c r="P450">
        <v>7975</v>
      </c>
      <c r="Q450">
        <f t="shared" si="13"/>
        <v>0</v>
      </c>
      <c r="R450">
        <v>0</v>
      </c>
      <c r="S450">
        <v>6</v>
      </c>
      <c r="T450" t="b">
        <v>0</v>
      </c>
      <c r="U450">
        <v>520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3410</v>
      </c>
      <c r="AH450">
        <v>0</v>
      </c>
      <c r="AI450">
        <v>0</v>
      </c>
      <c r="AJ450">
        <v>0</v>
      </c>
      <c r="AK450">
        <v>85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3960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</row>
    <row r="451" spans="1:56" x14ac:dyDescent="0.3">
      <c r="A451" t="s">
        <v>122</v>
      </c>
      <c r="B451" t="s">
        <v>64</v>
      </c>
      <c r="C451">
        <v>2082</v>
      </c>
      <c r="D451">
        <v>10</v>
      </c>
      <c r="E451">
        <v>7</v>
      </c>
      <c r="F451" t="s">
        <v>59</v>
      </c>
      <c r="G451">
        <v>140</v>
      </c>
      <c r="H451">
        <v>100</v>
      </c>
      <c r="I451">
        <v>100</v>
      </c>
      <c r="J451">
        <v>100</v>
      </c>
      <c r="K451" t="s">
        <v>58</v>
      </c>
      <c r="L451" t="s">
        <v>58</v>
      </c>
      <c r="M451" t="b">
        <v>0</v>
      </c>
      <c r="N451">
        <v>14000</v>
      </c>
      <c r="O451" t="b">
        <f t="shared" si="14"/>
        <v>1</v>
      </c>
      <c r="P451">
        <v>140</v>
      </c>
      <c r="Q451">
        <f t="shared" si="13"/>
        <v>0</v>
      </c>
      <c r="R451">
        <v>0</v>
      </c>
      <c r="S451">
        <v>6</v>
      </c>
      <c r="T451" t="b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140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</row>
    <row r="452" spans="1:56" x14ac:dyDescent="0.3">
      <c r="A452" t="s">
        <v>123</v>
      </c>
      <c r="B452" t="s">
        <v>56</v>
      </c>
      <c r="C452">
        <v>2082</v>
      </c>
      <c r="D452">
        <v>4</v>
      </c>
      <c r="E452">
        <v>1</v>
      </c>
      <c r="F452" t="s">
        <v>70</v>
      </c>
      <c r="G452">
        <v>52670</v>
      </c>
      <c r="H452">
        <v>150</v>
      </c>
      <c r="I452">
        <v>200</v>
      </c>
      <c r="J452">
        <v>185</v>
      </c>
      <c r="K452" t="s">
        <v>58</v>
      </c>
      <c r="L452" t="s">
        <v>58</v>
      </c>
      <c r="M452" t="b">
        <v>0</v>
      </c>
      <c r="N452">
        <v>9743950</v>
      </c>
      <c r="O452" t="b">
        <f t="shared" si="14"/>
        <v>1</v>
      </c>
      <c r="P452">
        <v>52670</v>
      </c>
      <c r="Q452">
        <f t="shared" si="13"/>
        <v>0</v>
      </c>
      <c r="R452">
        <v>0</v>
      </c>
      <c r="S452">
        <v>10</v>
      </c>
      <c r="T452" t="b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46240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2400</v>
      </c>
      <c r="AR452">
        <v>3980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</row>
    <row r="453" spans="1:56" x14ac:dyDescent="0.3">
      <c r="A453" t="s">
        <v>123</v>
      </c>
      <c r="B453" t="s">
        <v>56</v>
      </c>
      <c r="C453">
        <v>2082</v>
      </c>
      <c r="D453">
        <v>5</v>
      </c>
      <c r="E453">
        <v>2</v>
      </c>
      <c r="F453" t="s">
        <v>65</v>
      </c>
      <c r="G453">
        <v>34660</v>
      </c>
      <c r="H453">
        <v>150</v>
      </c>
      <c r="I453">
        <v>220</v>
      </c>
      <c r="J453">
        <v>185.9</v>
      </c>
      <c r="K453" t="s">
        <v>58</v>
      </c>
      <c r="L453" t="s">
        <v>58</v>
      </c>
      <c r="M453" t="b">
        <v>0</v>
      </c>
      <c r="N453">
        <v>6443294</v>
      </c>
      <c r="O453" t="b">
        <f t="shared" si="14"/>
        <v>1</v>
      </c>
      <c r="P453">
        <v>34660</v>
      </c>
      <c r="Q453">
        <f t="shared" si="13"/>
        <v>0</v>
      </c>
      <c r="R453">
        <v>0</v>
      </c>
      <c r="S453">
        <v>10</v>
      </c>
      <c r="T453" t="b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30625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1580</v>
      </c>
      <c r="AR453">
        <v>2455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</row>
    <row r="454" spans="1:56" x14ac:dyDescent="0.3">
      <c r="A454" t="s">
        <v>123</v>
      </c>
      <c r="B454" t="s">
        <v>56</v>
      </c>
      <c r="C454">
        <v>2082</v>
      </c>
      <c r="D454">
        <v>6</v>
      </c>
      <c r="E454">
        <v>3</v>
      </c>
      <c r="F454" t="s">
        <v>66</v>
      </c>
      <c r="G454">
        <v>26950</v>
      </c>
      <c r="H454">
        <v>120</v>
      </c>
      <c r="I454">
        <v>220</v>
      </c>
      <c r="J454">
        <v>160.31</v>
      </c>
      <c r="K454" t="s">
        <v>58</v>
      </c>
      <c r="L454" t="s">
        <v>58</v>
      </c>
      <c r="M454" t="b">
        <v>0</v>
      </c>
      <c r="N454">
        <v>4320354.5</v>
      </c>
      <c r="O454" t="b">
        <f t="shared" si="14"/>
        <v>1</v>
      </c>
      <c r="P454">
        <v>26950</v>
      </c>
      <c r="Q454">
        <f t="shared" si="13"/>
        <v>0</v>
      </c>
      <c r="R454">
        <v>0</v>
      </c>
      <c r="S454">
        <v>10</v>
      </c>
      <c r="T454" t="b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23720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1480</v>
      </c>
      <c r="AR454">
        <v>1750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</row>
    <row r="455" spans="1:56" x14ac:dyDescent="0.3">
      <c r="A455" t="s">
        <v>123</v>
      </c>
      <c r="B455" t="s">
        <v>56</v>
      </c>
      <c r="C455">
        <v>2082</v>
      </c>
      <c r="D455">
        <v>7</v>
      </c>
      <c r="E455">
        <v>4</v>
      </c>
      <c r="F455" t="s">
        <v>67</v>
      </c>
      <c r="G455">
        <v>37200</v>
      </c>
      <c r="H455">
        <v>150</v>
      </c>
      <c r="I455">
        <v>200</v>
      </c>
      <c r="J455">
        <v>167.63</v>
      </c>
      <c r="K455" t="s">
        <v>58</v>
      </c>
      <c r="L455" t="s">
        <v>58</v>
      </c>
      <c r="M455" t="b">
        <v>0</v>
      </c>
      <c r="N455">
        <v>6235836</v>
      </c>
      <c r="O455" t="b">
        <f t="shared" si="14"/>
        <v>1</v>
      </c>
      <c r="P455">
        <v>37200</v>
      </c>
      <c r="Q455">
        <f t="shared" si="13"/>
        <v>0</v>
      </c>
      <c r="R455">
        <v>0</v>
      </c>
      <c r="S455">
        <v>10</v>
      </c>
      <c r="T455" t="b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30480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2410</v>
      </c>
      <c r="AR455">
        <v>4310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</row>
    <row r="456" spans="1:56" x14ac:dyDescent="0.3">
      <c r="A456" t="s">
        <v>123</v>
      </c>
      <c r="B456" t="s">
        <v>56</v>
      </c>
      <c r="C456">
        <v>2082</v>
      </c>
      <c r="D456">
        <v>8</v>
      </c>
      <c r="E456">
        <v>5</v>
      </c>
      <c r="F456" t="s">
        <v>68</v>
      </c>
      <c r="G456">
        <v>39265</v>
      </c>
      <c r="H456">
        <v>150</v>
      </c>
      <c r="I456">
        <v>250</v>
      </c>
      <c r="J456">
        <v>199.74</v>
      </c>
      <c r="K456" t="s">
        <v>58</v>
      </c>
      <c r="L456" t="s">
        <v>58</v>
      </c>
      <c r="M456" t="b">
        <v>0</v>
      </c>
      <c r="N456">
        <v>7842791.0999999996</v>
      </c>
      <c r="O456" t="b">
        <f t="shared" si="14"/>
        <v>1</v>
      </c>
      <c r="P456">
        <v>39265</v>
      </c>
      <c r="Q456">
        <f t="shared" si="13"/>
        <v>0</v>
      </c>
      <c r="R456">
        <v>0</v>
      </c>
      <c r="S456">
        <v>10</v>
      </c>
      <c r="T456" t="b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1020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27335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7850</v>
      </c>
      <c r="AR456">
        <v>3060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</row>
    <row r="457" spans="1:56" x14ac:dyDescent="0.3">
      <c r="A457" t="s">
        <v>123</v>
      </c>
      <c r="B457" t="s">
        <v>56</v>
      </c>
      <c r="C457">
        <v>2082</v>
      </c>
      <c r="D457">
        <v>9</v>
      </c>
      <c r="E457">
        <v>6</v>
      </c>
      <c r="F457" t="s">
        <v>57</v>
      </c>
      <c r="G457">
        <v>49855</v>
      </c>
      <c r="H457">
        <v>150</v>
      </c>
      <c r="I457">
        <v>220</v>
      </c>
      <c r="J457">
        <v>186.36</v>
      </c>
      <c r="K457" t="s">
        <v>58</v>
      </c>
      <c r="L457" t="s">
        <v>58</v>
      </c>
      <c r="M457" t="b">
        <v>0</v>
      </c>
      <c r="N457">
        <v>9290977.8000000007</v>
      </c>
      <c r="O457" t="b">
        <f t="shared" si="14"/>
        <v>1</v>
      </c>
      <c r="P457">
        <v>49855</v>
      </c>
      <c r="Q457">
        <f t="shared" si="13"/>
        <v>0</v>
      </c>
      <c r="R457">
        <v>0</v>
      </c>
      <c r="S457">
        <v>10</v>
      </c>
      <c r="T457" t="b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240</v>
      </c>
      <c r="AD457">
        <v>600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35835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7220</v>
      </c>
      <c r="AR457">
        <v>5960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</row>
    <row r="458" spans="1:56" x14ac:dyDescent="0.3">
      <c r="A458" t="s">
        <v>123</v>
      </c>
      <c r="B458" t="s">
        <v>56</v>
      </c>
      <c r="C458">
        <v>2082</v>
      </c>
      <c r="D458">
        <v>10</v>
      </c>
      <c r="E458">
        <v>7</v>
      </c>
      <c r="F458" t="s">
        <v>59</v>
      </c>
      <c r="G458">
        <v>38985</v>
      </c>
      <c r="H458">
        <v>70</v>
      </c>
      <c r="I458">
        <v>180</v>
      </c>
      <c r="J458">
        <v>122.71</v>
      </c>
      <c r="K458" t="s">
        <v>58</v>
      </c>
      <c r="L458" t="s">
        <v>58</v>
      </c>
      <c r="M458" t="b">
        <v>0</v>
      </c>
      <c r="N458">
        <v>4783849.3499999996</v>
      </c>
      <c r="O458" t="b">
        <f t="shared" si="14"/>
        <v>1</v>
      </c>
      <c r="P458">
        <v>38985</v>
      </c>
      <c r="Q458">
        <f t="shared" si="13"/>
        <v>0</v>
      </c>
      <c r="R458">
        <v>0</v>
      </c>
      <c r="S458">
        <v>10</v>
      </c>
      <c r="T458" t="b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32715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2950</v>
      </c>
      <c r="AR458">
        <v>3320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</row>
    <row r="459" spans="1:56" x14ac:dyDescent="0.3">
      <c r="A459" t="s">
        <v>123</v>
      </c>
      <c r="B459" t="s">
        <v>56</v>
      </c>
      <c r="C459">
        <v>2082</v>
      </c>
      <c r="D459">
        <v>11</v>
      </c>
      <c r="E459">
        <v>8</v>
      </c>
      <c r="F459" t="s">
        <v>60</v>
      </c>
      <c r="G459">
        <v>32500</v>
      </c>
      <c r="H459">
        <v>70</v>
      </c>
      <c r="I459">
        <v>180</v>
      </c>
      <c r="J459">
        <v>134.44</v>
      </c>
      <c r="K459" t="s">
        <v>58</v>
      </c>
      <c r="L459" t="s">
        <v>58</v>
      </c>
      <c r="M459" t="b">
        <v>0</v>
      </c>
      <c r="N459">
        <v>4369300</v>
      </c>
      <c r="O459" t="b">
        <f t="shared" si="14"/>
        <v>1</v>
      </c>
      <c r="P459">
        <v>32500</v>
      </c>
      <c r="Q459">
        <f t="shared" si="13"/>
        <v>0</v>
      </c>
      <c r="R459">
        <v>0</v>
      </c>
      <c r="S459">
        <v>10</v>
      </c>
      <c r="T459" t="b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29400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1610</v>
      </c>
      <c r="AR459">
        <v>1490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</row>
    <row r="460" spans="1:56" x14ac:dyDescent="0.3">
      <c r="A460" t="s">
        <v>123</v>
      </c>
      <c r="B460" t="s">
        <v>56</v>
      </c>
      <c r="C460">
        <v>2082</v>
      </c>
      <c r="D460">
        <v>12</v>
      </c>
      <c r="E460">
        <v>9</v>
      </c>
      <c r="F460" t="s">
        <v>61</v>
      </c>
      <c r="G460">
        <v>35730</v>
      </c>
      <c r="H460">
        <v>140</v>
      </c>
      <c r="I460">
        <v>250</v>
      </c>
      <c r="J460">
        <v>205.23</v>
      </c>
      <c r="K460" t="s">
        <v>58</v>
      </c>
      <c r="L460" t="s">
        <v>58</v>
      </c>
      <c r="M460" t="b">
        <v>0</v>
      </c>
      <c r="N460">
        <v>7332867.9000000004</v>
      </c>
      <c r="O460" t="b">
        <f t="shared" si="14"/>
        <v>1</v>
      </c>
      <c r="P460">
        <v>35730</v>
      </c>
      <c r="Q460">
        <f t="shared" si="13"/>
        <v>0</v>
      </c>
      <c r="R460">
        <v>6.7170445004198099E-3</v>
      </c>
      <c r="S460">
        <v>10</v>
      </c>
      <c r="T460" t="b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240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24430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4110</v>
      </c>
      <c r="AR460">
        <v>6950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</row>
    <row r="461" spans="1:56" x14ac:dyDescent="0.3">
      <c r="A461" t="s">
        <v>123</v>
      </c>
      <c r="B461" t="s">
        <v>56</v>
      </c>
      <c r="C461">
        <v>2083</v>
      </c>
      <c r="D461">
        <v>1</v>
      </c>
      <c r="E461">
        <v>10</v>
      </c>
      <c r="F461" t="s">
        <v>62</v>
      </c>
      <c r="G461">
        <v>31135</v>
      </c>
      <c r="H461">
        <v>180</v>
      </c>
      <c r="I461">
        <v>250</v>
      </c>
      <c r="J461">
        <v>219.35</v>
      </c>
      <c r="K461" t="s">
        <v>58</v>
      </c>
      <c r="L461" t="s">
        <v>58</v>
      </c>
      <c r="M461" t="b">
        <v>0</v>
      </c>
      <c r="N461">
        <v>6829462.25</v>
      </c>
      <c r="O461" t="b">
        <f t="shared" si="14"/>
        <v>1</v>
      </c>
      <c r="P461">
        <v>31135</v>
      </c>
      <c r="Q461">
        <f t="shared" si="13"/>
        <v>0</v>
      </c>
      <c r="R461">
        <v>0</v>
      </c>
      <c r="S461">
        <v>10</v>
      </c>
      <c r="T461" t="b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24035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3580</v>
      </c>
      <c r="AR461">
        <v>3520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</row>
    <row r="462" spans="1:56" x14ac:dyDescent="0.3">
      <c r="A462" t="s">
        <v>124</v>
      </c>
      <c r="B462" t="s">
        <v>56</v>
      </c>
      <c r="C462">
        <v>2082</v>
      </c>
      <c r="D462">
        <v>4</v>
      </c>
      <c r="E462">
        <v>1</v>
      </c>
      <c r="F462" t="s">
        <v>70</v>
      </c>
      <c r="G462">
        <v>245919</v>
      </c>
      <c r="H462">
        <v>30</v>
      </c>
      <c r="I462">
        <v>90</v>
      </c>
      <c r="J462">
        <v>53.4</v>
      </c>
      <c r="K462" t="s">
        <v>58</v>
      </c>
      <c r="L462" t="s">
        <v>58</v>
      </c>
      <c r="M462" t="b">
        <v>0</v>
      </c>
      <c r="N462">
        <v>13132074.6</v>
      </c>
      <c r="O462" t="b">
        <f t="shared" si="14"/>
        <v>1</v>
      </c>
      <c r="P462">
        <v>245919</v>
      </c>
      <c r="Q462">
        <f t="shared" ref="Q462:Q525" si="15">ABS(P462-G462)</f>
        <v>0</v>
      </c>
      <c r="R462">
        <v>0</v>
      </c>
      <c r="S462">
        <v>10</v>
      </c>
      <c r="T462" t="b">
        <v>1</v>
      </c>
      <c r="U462">
        <v>0</v>
      </c>
      <c r="V462">
        <v>0</v>
      </c>
      <c r="W462">
        <v>0</v>
      </c>
      <c r="X462">
        <v>0</v>
      </c>
      <c r="Y462">
        <v>6525</v>
      </c>
      <c r="Z462">
        <v>0</v>
      </c>
      <c r="AA462">
        <v>3580</v>
      </c>
      <c r="AB462">
        <v>83055</v>
      </c>
      <c r="AC462">
        <v>420</v>
      </c>
      <c r="AD462">
        <v>6535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70275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73329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2200</v>
      </c>
    </row>
    <row r="463" spans="1:56" x14ac:dyDescent="0.3">
      <c r="A463" t="s">
        <v>124</v>
      </c>
      <c r="B463" t="s">
        <v>56</v>
      </c>
      <c r="C463">
        <v>2082</v>
      </c>
      <c r="D463">
        <v>5</v>
      </c>
      <c r="E463">
        <v>2</v>
      </c>
      <c r="F463" t="s">
        <v>65</v>
      </c>
      <c r="G463">
        <v>179543</v>
      </c>
      <c r="H463">
        <v>30</v>
      </c>
      <c r="I463">
        <v>90</v>
      </c>
      <c r="J463">
        <v>62.36</v>
      </c>
      <c r="K463" t="s">
        <v>58</v>
      </c>
      <c r="L463" t="s">
        <v>58</v>
      </c>
      <c r="M463" t="b">
        <v>0</v>
      </c>
      <c r="N463">
        <v>11196301.48</v>
      </c>
      <c r="O463" t="b">
        <f t="shared" si="14"/>
        <v>1</v>
      </c>
      <c r="P463">
        <v>179543</v>
      </c>
      <c r="Q463">
        <f t="shared" si="15"/>
        <v>0</v>
      </c>
      <c r="R463">
        <v>1.41470288454576E-2</v>
      </c>
      <c r="S463">
        <v>10</v>
      </c>
      <c r="T463" t="b">
        <v>1</v>
      </c>
      <c r="U463">
        <v>0</v>
      </c>
      <c r="V463">
        <v>0</v>
      </c>
      <c r="W463">
        <v>0</v>
      </c>
      <c r="X463">
        <v>0</v>
      </c>
      <c r="Y463">
        <v>4900</v>
      </c>
      <c r="Z463">
        <v>0</v>
      </c>
      <c r="AA463">
        <v>0</v>
      </c>
      <c r="AB463">
        <v>49045</v>
      </c>
      <c r="AC463">
        <v>680</v>
      </c>
      <c r="AD463">
        <v>13035</v>
      </c>
      <c r="AE463">
        <v>2540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49315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57018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3010</v>
      </c>
    </row>
    <row r="464" spans="1:56" x14ac:dyDescent="0.3">
      <c r="A464" t="s">
        <v>124</v>
      </c>
      <c r="B464" t="s">
        <v>56</v>
      </c>
      <c r="C464">
        <v>2082</v>
      </c>
      <c r="D464">
        <v>6</v>
      </c>
      <c r="E464">
        <v>3</v>
      </c>
      <c r="F464" t="s">
        <v>66</v>
      </c>
      <c r="G464">
        <v>131840</v>
      </c>
      <c r="H464">
        <v>80</v>
      </c>
      <c r="I464">
        <v>200</v>
      </c>
      <c r="J464">
        <v>145.94</v>
      </c>
      <c r="K464" t="s">
        <v>58</v>
      </c>
      <c r="L464" t="s">
        <v>58</v>
      </c>
      <c r="M464" t="b">
        <v>0</v>
      </c>
      <c r="N464">
        <v>19240729.600000001</v>
      </c>
      <c r="O464" t="b">
        <f t="shared" si="14"/>
        <v>1</v>
      </c>
      <c r="P464">
        <v>131840</v>
      </c>
      <c r="Q464">
        <f t="shared" si="15"/>
        <v>0</v>
      </c>
      <c r="R464">
        <v>7.5470266990291204E-2</v>
      </c>
      <c r="S464">
        <v>10</v>
      </c>
      <c r="T464" t="b">
        <v>1</v>
      </c>
      <c r="U464">
        <v>0</v>
      </c>
      <c r="V464">
        <v>0</v>
      </c>
      <c r="W464">
        <v>0</v>
      </c>
      <c r="X464">
        <v>0</v>
      </c>
      <c r="Y464">
        <v>10460</v>
      </c>
      <c r="Z464">
        <v>0</v>
      </c>
      <c r="AA464">
        <v>0</v>
      </c>
      <c r="AB464">
        <v>40850</v>
      </c>
      <c r="AC464">
        <v>1870</v>
      </c>
      <c r="AD464">
        <v>4160</v>
      </c>
      <c r="AE464">
        <v>9950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31285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31855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1410</v>
      </c>
    </row>
    <row r="465" spans="1:56" x14ac:dyDescent="0.3">
      <c r="A465" t="s">
        <v>124</v>
      </c>
      <c r="B465" t="s">
        <v>56</v>
      </c>
      <c r="C465">
        <v>2082</v>
      </c>
      <c r="D465">
        <v>7</v>
      </c>
      <c r="E465">
        <v>4</v>
      </c>
      <c r="F465" t="s">
        <v>67</v>
      </c>
      <c r="G465">
        <v>141405</v>
      </c>
      <c r="H465">
        <v>100</v>
      </c>
      <c r="I465">
        <v>200</v>
      </c>
      <c r="J465">
        <v>135.53</v>
      </c>
      <c r="K465" t="s">
        <v>58</v>
      </c>
      <c r="L465" t="s">
        <v>58</v>
      </c>
      <c r="M465" t="b">
        <v>0</v>
      </c>
      <c r="N465">
        <v>19164619.649999999</v>
      </c>
      <c r="O465" t="b">
        <f t="shared" si="14"/>
        <v>1</v>
      </c>
      <c r="P465">
        <v>141405</v>
      </c>
      <c r="Q465">
        <f t="shared" si="15"/>
        <v>0</v>
      </c>
      <c r="R465">
        <v>0.28075386301757299</v>
      </c>
      <c r="S465">
        <v>10</v>
      </c>
      <c r="T465" t="b">
        <v>1</v>
      </c>
      <c r="U465">
        <v>0</v>
      </c>
      <c r="V465">
        <v>0</v>
      </c>
      <c r="W465">
        <v>0</v>
      </c>
      <c r="X465">
        <v>0</v>
      </c>
      <c r="Y465">
        <v>15590</v>
      </c>
      <c r="Z465">
        <v>0</v>
      </c>
      <c r="AA465">
        <v>0</v>
      </c>
      <c r="AB465">
        <v>41224</v>
      </c>
      <c r="AC465">
        <v>622</v>
      </c>
      <c r="AD465">
        <v>690</v>
      </c>
      <c r="AE465">
        <v>39700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13259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30240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80</v>
      </c>
    </row>
    <row r="466" spans="1:56" x14ac:dyDescent="0.3">
      <c r="A466" t="s">
        <v>124</v>
      </c>
      <c r="B466" t="s">
        <v>56</v>
      </c>
      <c r="C466">
        <v>2082</v>
      </c>
      <c r="D466">
        <v>8</v>
      </c>
      <c r="E466">
        <v>5</v>
      </c>
      <c r="F466" t="s">
        <v>68</v>
      </c>
      <c r="G466">
        <v>95225</v>
      </c>
      <c r="H466">
        <v>130</v>
      </c>
      <c r="I466">
        <v>180</v>
      </c>
      <c r="J466">
        <v>148.85</v>
      </c>
      <c r="K466" t="s">
        <v>58</v>
      </c>
      <c r="L466" t="s">
        <v>58</v>
      </c>
      <c r="M466" t="b">
        <v>0</v>
      </c>
      <c r="N466">
        <v>14174241.25</v>
      </c>
      <c r="O466" t="b">
        <f t="shared" si="14"/>
        <v>1</v>
      </c>
      <c r="P466">
        <v>95225</v>
      </c>
      <c r="Q466">
        <f t="shared" si="15"/>
        <v>0</v>
      </c>
      <c r="R466">
        <v>0.59348910475190297</v>
      </c>
      <c r="S466">
        <v>10</v>
      </c>
      <c r="T466" t="b">
        <v>1</v>
      </c>
      <c r="U466">
        <v>0</v>
      </c>
      <c r="V466">
        <v>0</v>
      </c>
      <c r="W466">
        <v>0</v>
      </c>
      <c r="X466">
        <v>0</v>
      </c>
      <c r="Y466">
        <v>8315</v>
      </c>
      <c r="Z466">
        <v>0</v>
      </c>
      <c r="AA466">
        <v>0</v>
      </c>
      <c r="AB466">
        <v>12600</v>
      </c>
      <c r="AC466">
        <v>0</v>
      </c>
      <c r="AD466">
        <v>0</v>
      </c>
      <c r="AE466">
        <v>56515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5670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12125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</row>
    <row r="467" spans="1:56" x14ac:dyDescent="0.3">
      <c r="A467" t="s">
        <v>124</v>
      </c>
      <c r="B467" t="s">
        <v>56</v>
      </c>
      <c r="C467">
        <v>2082</v>
      </c>
      <c r="D467">
        <v>9</v>
      </c>
      <c r="E467">
        <v>6</v>
      </c>
      <c r="F467" t="s">
        <v>57</v>
      </c>
      <c r="G467">
        <v>65735</v>
      </c>
      <c r="H467">
        <v>130</v>
      </c>
      <c r="I467">
        <v>160</v>
      </c>
      <c r="J467">
        <v>149.55000000000001</v>
      </c>
      <c r="K467" t="s">
        <v>58</v>
      </c>
      <c r="L467" t="s">
        <v>58</v>
      </c>
      <c r="M467" t="b">
        <v>0</v>
      </c>
      <c r="N467">
        <v>9830669.25</v>
      </c>
      <c r="O467" t="b">
        <f t="shared" si="14"/>
        <v>1</v>
      </c>
      <c r="P467">
        <v>65735</v>
      </c>
      <c r="Q467">
        <f t="shared" si="15"/>
        <v>0</v>
      </c>
      <c r="R467">
        <v>0.95040693694378897</v>
      </c>
      <c r="S467">
        <v>10</v>
      </c>
      <c r="T467" t="b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1140</v>
      </c>
      <c r="AC467">
        <v>0</v>
      </c>
      <c r="AD467">
        <v>0</v>
      </c>
      <c r="AE467">
        <v>62475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160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1960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</row>
    <row r="468" spans="1:56" x14ac:dyDescent="0.3">
      <c r="A468" t="s">
        <v>124</v>
      </c>
      <c r="B468" t="s">
        <v>56</v>
      </c>
      <c r="C468">
        <v>2082</v>
      </c>
      <c r="D468">
        <v>10</v>
      </c>
      <c r="E468">
        <v>7</v>
      </c>
      <c r="F468" t="s">
        <v>59</v>
      </c>
      <c r="G468">
        <v>53830</v>
      </c>
      <c r="H468">
        <v>100</v>
      </c>
      <c r="I468">
        <v>180</v>
      </c>
      <c r="J468">
        <v>147</v>
      </c>
      <c r="K468" t="s">
        <v>58</v>
      </c>
      <c r="L468" t="s">
        <v>58</v>
      </c>
      <c r="M468" t="b">
        <v>0</v>
      </c>
      <c r="N468">
        <v>7913010</v>
      </c>
      <c r="O468" t="b">
        <f t="shared" si="14"/>
        <v>1</v>
      </c>
      <c r="P468">
        <v>53830</v>
      </c>
      <c r="Q468">
        <f t="shared" si="15"/>
        <v>0</v>
      </c>
      <c r="R468">
        <v>1</v>
      </c>
      <c r="S468">
        <v>10</v>
      </c>
      <c r="T468" t="b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53830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</row>
    <row r="469" spans="1:56" x14ac:dyDescent="0.3">
      <c r="A469" t="s">
        <v>124</v>
      </c>
      <c r="B469" t="s">
        <v>56</v>
      </c>
      <c r="C469">
        <v>2082</v>
      </c>
      <c r="D469">
        <v>11</v>
      </c>
      <c r="E469">
        <v>8</v>
      </c>
      <c r="F469" t="s">
        <v>60</v>
      </c>
      <c r="G469">
        <v>45755</v>
      </c>
      <c r="H469">
        <v>100</v>
      </c>
      <c r="I469">
        <v>150</v>
      </c>
      <c r="J469">
        <v>142.78</v>
      </c>
      <c r="K469" t="s">
        <v>58</v>
      </c>
      <c r="L469" t="s">
        <v>58</v>
      </c>
      <c r="M469" t="b">
        <v>0</v>
      </c>
      <c r="N469">
        <v>6532898.9000000004</v>
      </c>
      <c r="O469" t="b">
        <f t="shared" si="14"/>
        <v>1</v>
      </c>
      <c r="P469">
        <v>45755</v>
      </c>
      <c r="Q469">
        <f t="shared" si="15"/>
        <v>0</v>
      </c>
      <c r="R469">
        <v>1</v>
      </c>
      <c r="S469">
        <v>10</v>
      </c>
      <c r="T469" t="b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45755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</row>
    <row r="470" spans="1:56" x14ac:dyDescent="0.3">
      <c r="A470" t="s">
        <v>124</v>
      </c>
      <c r="B470" t="s">
        <v>56</v>
      </c>
      <c r="C470">
        <v>2082</v>
      </c>
      <c r="D470">
        <v>12</v>
      </c>
      <c r="E470">
        <v>9</v>
      </c>
      <c r="F470" t="s">
        <v>61</v>
      </c>
      <c r="G470">
        <v>150580</v>
      </c>
      <c r="H470">
        <v>120</v>
      </c>
      <c r="I470">
        <v>180</v>
      </c>
      <c r="J470">
        <v>143.86000000000001</v>
      </c>
      <c r="K470" t="s">
        <v>58</v>
      </c>
      <c r="L470" t="s">
        <v>58</v>
      </c>
      <c r="M470" t="b">
        <v>0</v>
      </c>
      <c r="N470">
        <v>21662438.800000001</v>
      </c>
      <c r="O470" t="b">
        <f t="shared" si="14"/>
        <v>1</v>
      </c>
      <c r="P470">
        <v>150580</v>
      </c>
      <c r="Q470">
        <f t="shared" si="15"/>
        <v>0</v>
      </c>
      <c r="R470">
        <v>0.50377872227387399</v>
      </c>
      <c r="S470">
        <v>10</v>
      </c>
      <c r="T470" t="b">
        <v>1</v>
      </c>
      <c r="U470">
        <v>0</v>
      </c>
      <c r="V470">
        <v>0</v>
      </c>
      <c r="W470">
        <v>0</v>
      </c>
      <c r="X470">
        <v>0</v>
      </c>
      <c r="Y470">
        <v>20645</v>
      </c>
      <c r="Z470">
        <v>0</v>
      </c>
      <c r="AA470">
        <v>0</v>
      </c>
      <c r="AB470">
        <v>4190</v>
      </c>
      <c r="AC470">
        <v>0</v>
      </c>
      <c r="AD470">
        <v>0</v>
      </c>
      <c r="AE470">
        <v>75859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49886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</row>
    <row r="471" spans="1:56" x14ac:dyDescent="0.3">
      <c r="A471" t="s">
        <v>124</v>
      </c>
      <c r="B471" t="s">
        <v>56</v>
      </c>
      <c r="C471">
        <v>2083</v>
      </c>
      <c r="D471">
        <v>1</v>
      </c>
      <c r="E471">
        <v>10</v>
      </c>
      <c r="F471" t="s">
        <v>62</v>
      </c>
      <c r="G471">
        <v>159795</v>
      </c>
      <c r="H471">
        <v>40</v>
      </c>
      <c r="I471">
        <v>140</v>
      </c>
      <c r="J471">
        <v>85.22</v>
      </c>
      <c r="K471" t="s">
        <v>58</v>
      </c>
      <c r="L471" t="s">
        <v>58</v>
      </c>
      <c r="M471" t="b">
        <v>0</v>
      </c>
      <c r="N471">
        <v>13617729.9</v>
      </c>
      <c r="O471" t="b">
        <f t="shared" si="14"/>
        <v>1</v>
      </c>
      <c r="P471">
        <v>159795</v>
      </c>
      <c r="Q471">
        <f t="shared" si="15"/>
        <v>0</v>
      </c>
      <c r="R471">
        <v>8.2762289183015703E-2</v>
      </c>
      <c r="S471">
        <v>10</v>
      </c>
      <c r="T471" t="b">
        <v>1</v>
      </c>
      <c r="U471">
        <v>0</v>
      </c>
      <c r="V471">
        <v>0</v>
      </c>
      <c r="W471">
        <v>0</v>
      </c>
      <c r="X471">
        <v>0</v>
      </c>
      <c r="Y471">
        <v>40375</v>
      </c>
      <c r="Z471">
        <v>0</v>
      </c>
      <c r="AA471">
        <v>0</v>
      </c>
      <c r="AB471">
        <v>39535</v>
      </c>
      <c r="AC471">
        <v>3340</v>
      </c>
      <c r="AD471">
        <v>0</v>
      </c>
      <c r="AE471">
        <v>13225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5400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57920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</row>
    <row r="472" spans="1:56" x14ac:dyDescent="0.3">
      <c r="A472" t="s">
        <v>125</v>
      </c>
      <c r="B472" t="s">
        <v>56</v>
      </c>
      <c r="C472">
        <v>2082</v>
      </c>
      <c r="D472">
        <v>4</v>
      </c>
      <c r="E472">
        <v>1</v>
      </c>
      <c r="F472" t="s">
        <v>70</v>
      </c>
      <c r="G472">
        <v>686475</v>
      </c>
      <c r="H472">
        <v>40</v>
      </c>
      <c r="I472">
        <v>60</v>
      </c>
      <c r="J472">
        <v>46.5</v>
      </c>
      <c r="K472" t="s">
        <v>58</v>
      </c>
      <c r="L472" t="s">
        <v>58</v>
      </c>
      <c r="M472" t="b">
        <v>0</v>
      </c>
      <c r="N472">
        <v>31921087.5</v>
      </c>
      <c r="O472" t="b">
        <f t="shared" si="14"/>
        <v>1</v>
      </c>
      <c r="P472">
        <v>686475</v>
      </c>
      <c r="Q472">
        <f t="shared" si="15"/>
        <v>0</v>
      </c>
      <c r="R472">
        <v>1</v>
      </c>
      <c r="S472">
        <v>10</v>
      </c>
      <c r="T472" t="b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686475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</row>
    <row r="473" spans="1:56" x14ac:dyDescent="0.3">
      <c r="A473" t="s">
        <v>125</v>
      </c>
      <c r="B473" t="s">
        <v>56</v>
      </c>
      <c r="C473">
        <v>2082</v>
      </c>
      <c r="D473">
        <v>5</v>
      </c>
      <c r="E473">
        <v>2</v>
      </c>
      <c r="F473" t="s">
        <v>65</v>
      </c>
      <c r="G473">
        <v>424575</v>
      </c>
      <c r="H473">
        <v>40</v>
      </c>
      <c r="I473">
        <v>60</v>
      </c>
      <c r="J473">
        <v>47.33</v>
      </c>
      <c r="K473" t="s">
        <v>58</v>
      </c>
      <c r="L473" t="s">
        <v>58</v>
      </c>
      <c r="M473" t="b">
        <v>0</v>
      </c>
      <c r="N473">
        <v>20095134.75</v>
      </c>
      <c r="O473" t="b">
        <f t="shared" si="14"/>
        <v>1</v>
      </c>
      <c r="P473">
        <v>424575</v>
      </c>
      <c r="Q473">
        <f t="shared" si="15"/>
        <v>0</v>
      </c>
      <c r="R473">
        <v>0</v>
      </c>
      <c r="S473">
        <v>10</v>
      </c>
      <c r="T473" t="b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424575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</row>
    <row r="474" spans="1:56" x14ac:dyDescent="0.3">
      <c r="A474" t="s">
        <v>125</v>
      </c>
      <c r="B474" t="s">
        <v>56</v>
      </c>
      <c r="C474">
        <v>2082</v>
      </c>
      <c r="D474">
        <v>6</v>
      </c>
      <c r="E474">
        <v>3</v>
      </c>
      <c r="F474" t="s">
        <v>66</v>
      </c>
      <c r="G474">
        <v>212130</v>
      </c>
      <c r="H474">
        <v>35</v>
      </c>
      <c r="I474">
        <v>50</v>
      </c>
      <c r="J474">
        <v>42.5</v>
      </c>
      <c r="K474" t="s">
        <v>58</v>
      </c>
      <c r="L474" t="s">
        <v>58</v>
      </c>
      <c r="M474" t="b">
        <v>0</v>
      </c>
      <c r="N474">
        <v>9015525</v>
      </c>
      <c r="O474" t="b">
        <f t="shared" si="14"/>
        <v>1</v>
      </c>
      <c r="P474">
        <v>212130</v>
      </c>
      <c r="Q474">
        <f t="shared" si="15"/>
        <v>0</v>
      </c>
      <c r="R474">
        <v>1</v>
      </c>
      <c r="S474">
        <v>10</v>
      </c>
      <c r="T474" t="b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212130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</row>
    <row r="475" spans="1:56" x14ac:dyDescent="0.3">
      <c r="A475" t="s">
        <v>125</v>
      </c>
      <c r="B475" t="s">
        <v>56</v>
      </c>
      <c r="C475">
        <v>2082</v>
      </c>
      <c r="D475">
        <v>7</v>
      </c>
      <c r="E475">
        <v>4</v>
      </c>
      <c r="F475" t="s">
        <v>67</v>
      </c>
      <c r="G475">
        <v>389695</v>
      </c>
      <c r="H475">
        <v>35</v>
      </c>
      <c r="I475">
        <v>50</v>
      </c>
      <c r="J475">
        <v>43.68</v>
      </c>
      <c r="K475" t="s">
        <v>58</v>
      </c>
      <c r="L475" t="s">
        <v>58</v>
      </c>
      <c r="M475" t="b">
        <v>0</v>
      </c>
      <c r="N475">
        <v>17021877.600000001</v>
      </c>
      <c r="O475" t="b">
        <f t="shared" si="14"/>
        <v>1</v>
      </c>
      <c r="P475">
        <v>389695</v>
      </c>
      <c r="Q475">
        <f t="shared" si="15"/>
        <v>0</v>
      </c>
      <c r="R475">
        <v>1</v>
      </c>
      <c r="S475">
        <v>10</v>
      </c>
      <c r="T475" t="b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389695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</row>
    <row r="476" spans="1:56" x14ac:dyDescent="0.3">
      <c r="A476" t="s">
        <v>125</v>
      </c>
      <c r="B476" t="s">
        <v>56</v>
      </c>
      <c r="C476">
        <v>2082</v>
      </c>
      <c r="D476">
        <v>8</v>
      </c>
      <c r="E476">
        <v>5</v>
      </c>
      <c r="F476" t="s">
        <v>68</v>
      </c>
      <c r="G476">
        <v>243160</v>
      </c>
      <c r="H476">
        <v>30</v>
      </c>
      <c r="I476">
        <v>60</v>
      </c>
      <c r="J476">
        <v>41.97</v>
      </c>
      <c r="K476" t="s">
        <v>58</v>
      </c>
      <c r="L476" t="s">
        <v>58</v>
      </c>
      <c r="M476" t="b">
        <v>0</v>
      </c>
      <c r="N476">
        <v>10205425.199999999</v>
      </c>
      <c r="O476" t="b">
        <f t="shared" si="14"/>
        <v>1</v>
      </c>
      <c r="P476">
        <v>243160</v>
      </c>
      <c r="Q476">
        <f t="shared" si="15"/>
        <v>0</v>
      </c>
      <c r="R476">
        <v>1</v>
      </c>
      <c r="S476">
        <v>10</v>
      </c>
      <c r="T476" t="b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243160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</row>
    <row r="477" spans="1:56" x14ac:dyDescent="0.3">
      <c r="A477" t="s">
        <v>125</v>
      </c>
      <c r="B477" t="s">
        <v>56</v>
      </c>
      <c r="C477">
        <v>2082</v>
      </c>
      <c r="D477">
        <v>9</v>
      </c>
      <c r="E477">
        <v>6</v>
      </c>
      <c r="F477" t="s">
        <v>57</v>
      </c>
      <c r="G477">
        <v>319991</v>
      </c>
      <c r="H477">
        <v>40</v>
      </c>
      <c r="I477">
        <v>70</v>
      </c>
      <c r="J477">
        <v>51.7</v>
      </c>
      <c r="K477" t="s">
        <v>58</v>
      </c>
      <c r="L477" t="s">
        <v>58</v>
      </c>
      <c r="M477" t="b">
        <v>0</v>
      </c>
      <c r="N477">
        <v>16543534.699999999</v>
      </c>
      <c r="O477" t="b">
        <f t="shared" si="14"/>
        <v>0</v>
      </c>
      <c r="P477">
        <v>747355</v>
      </c>
      <c r="Q477">
        <f t="shared" si="15"/>
        <v>427364</v>
      </c>
      <c r="R477">
        <v>1</v>
      </c>
      <c r="S477">
        <v>10</v>
      </c>
      <c r="T477" t="b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747355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</row>
    <row r="478" spans="1:56" x14ac:dyDescent="0.3">
      <c r="A478" t="s">
        <v>125</v>
      </c>
      <c r="B478" t="s">
        <v>56</v>
      </c>
      <c r="C478">
        <v>2082</v>
      </c>
      <c r="D478">
        <v>10</v>
      </c>
      <c r="E478">
        <v>7</v>
      </c>
      <c r="F478" t="s">
        <v>59</v>
      </c>
      <c r="G478">
        <v>198835</v>
      </c>
      <c r="H478">
        <v>38</v>
      </c>
      <c r="I478">
        <v>70</v>
      </c>
      <c r="J478">
        <v>50.83</v>
      </c>
      <c r="K478" t="s">
        <v>58</v>
      </c>
      <c r="L478" t="s">
        <v>58</v>
      </c>
      <c r="M478" t="b">
        <v>0</v>
      </c>
      <c r="N478">
        <v>10106783.0499999</v>
      </c>
      <c r="O478" t="b">
        <f t="shared" si="14"/>
        <v>1</v>
      </c>
      <c r="P478">
        <v>198835</v>
      </c>
      <c r="Q478">
        <f t="shared" si="15"/>
        <v>0</v>
      </c>
      <c r="R478">
        <v>1</v>
      </c>
      <c r="S478">
        <v>10</v>
      </c>
      <c r="T478" t="b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198835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</row>
    <row r="479" spans="1:56" x14ac:dyDescent="0.3">
      <c r="A479" t="s">
        <v>125</v>
      </c>
      <c r="B479" t="s">
        <v>56</v>
      </c>
      <c r="C479">
        <v>2082</v>
      </c>
      <c r="D479">
        <v>11</v>
      </c>
      <c r="E479">
        <v>8</v>
      </c>
      <c r="F479" t="s">
        <v>60</v>
      </c>
      <c r="G479">
        <v>189400</v>
      </c>
      <c r="H479">
        <v>38</v>
      </c>
      <c r="I479">
        <v>60</v>
      </c>
      <c r="J479">
        <v>49.68</v>
      </c>
      <c r="K479" t="s">
        <v>58</v>
      </c>
      <c r="L479" t="s">
        <v>58</v>
      </c>
      <c r="M479" t="b">
        <v>0</v>
      </c>
      <c r="N479">
        <v>9409392</v>
      </c>
      <c r="O479" t="b">
        <f t="shared" si="14"/>
        <v>0</v>
      </c>
      <c r="P479">
        <v>189190</v>
      </c>
      <c r="Q479">
        <f t="shared" si="15"/>
        <v>210</v>
      </c>
      <c r="R479">
        <v>1</v>
      </c>
      <c r="S479">
        <v>10</v>
      </c>
      <c r="T479" t="b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189190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</row>
    <row r="480" spans="1:56" x14ac:dyDescent="0.3">
      <c r="A480" t="s">
        <v>125</v>
      </c>
      <c r="B480" t="s">
        <v>56</v>
      </c>
      <c r="C480">
        <v>2082</v>
      </c>
      <c r="D480">
        <v>12</v>
      </c>
      <c r="E480">
        <v>9</v>
      </c>
      <c r="F480" t="s">
        <v>61</v>
      </c>
      <c r="G480">
        <v>488705</v>
      </c>
      <c r="H480">
        <v>30</v>
      </c>
      <c r="I480">
        <v>60</v>
      </c>
      <c r="J480">
        <v>39.049999999999997</v>
      </c>
      <c r="K480" t="s">
        <v>58</v>
      </c>
      <c r="L480" t="s">
        <v>58</v>
      </c>
      <c r="M480" t="b">
        <v>0</v>
      </c>
      <c r="N480">
        <v>19083930.25</v>
      </c>
      <c r="O480" t="b">
        <f t="shared" si="14"/>
        <v>1</v>
      </c>
      <c r="P480">
        <v>488705</v>
      </c>
      <c r="Q480">
        <f t="shared" si="15"/>
        <v>0</v>
      </c>
      <c r="R480">
        <v>1</v>
      </c>
      <c r="S480">
        <v>10</v>
      </c>
      <c r="T480" t="b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488705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</row>
    <row r="481" spans="1:56" x14ac:dyDescent="0.3">
      <c r="A481" t="s">
        <v>125</v>
      </c>
      <c r="B481" t="s">
        <v>56</v>
      </c>
      <c r="C481">
        <v>2083</v>
      </c>
      <c r="D481">
        <v>1</v>
      </c>
      <c r="E481">
        <v>10</v>
      </c>
      <c r="F481" t="s">
        <v>62</v>
      </c>
      <c r="G481">
        <v>286880</v>
      </c>
      <c r="H481">
        <v>40</v>
      </c>
      <c r="I481">
        <v>50</v>
      </c>
      <c r="J481">
        <v>45</v>
      </c>
      <c r="K481" t="s">
        <v>58</v>
      </c>
      <c r="L481" t="s">
        <v>58</v>
      </c>
      <c r="M481" t="b">
        <v>0</v>
      </c>
      <c r="N481">
        <v>12909600</v>
      </c>
      <c r="O481" t="b">
        <f t="shared" si="14"/>
        <v>1</v>
      </c>
      <c r="P481">
        <v>286880</v>
      </c>
      <c r="Q481">
        <f t="shared" si="15"/>
        <v>0</v>
      </c>
      <c r="R481">
        <v>1</v>
      </c>
      <c r="S481">
        <v>10</v>
      </c>
      <c r="T481" t="b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286880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</row>
    <row r="482" spans="1:56" x14ac:dyDescent="0.3">
      <c r="A482" t="s">
        <v>126</v>
      </c>
      <c r="B482" t="s">
        <v>56</v>
      </c>
      <c r="C482">
        <v>2082</v>
      </c>
      <c r="D482">
        <v>4</v>
      </c>
      <c r="E482">
        <v>1</v>
      </c>
      <c r="F482" t="s">
        <v>70</v>
      </c>
      <c r="G482">
        <v>11966</v>
      </c>
      <c r="H482">
        <v>150</v>
      </c>
      <c r="I482">
        <v>250</v>
      </c>
      <c r="J482">
        <v>185</v>
      </c>
      <c r="K482" t="s">
        <v>86</v>
      </c>
      <c r="L482" t="s">
        <v>86</v>
      </c>
      <c r="M482" t="b">
        <v>0</v>
      </c>
      <c r="N482">
        <v>2213710</v>
      </c>
      <c r="O482" t="b">
        <f t="shared" si="14"/>
        <v>1</v>
      </c>
      <c r="P482">
        <v>11966</v>
      </c>
      <c r="Q482">
        <f t="shared" si="15"/>
        <v>0</v>
      </c>
      <c r="R482">
        <v>0</v>
      </c>
      <c r="S482">
        <v>10</v>
      </c>
      <c r="T482" t="b">
        <v>1</v>
      </c>
      <c r="U482">
        <v>0</v>
      </c>
      <c r="V482">
        <v>0</v>
      </c>
      <c r="W482">
        <v>0</v>
      </c>
      <c r="X482">
        <v>0</v>
      </c>
      <c r="Y482">
        <v>140</v>
      </c>
      <c r="Z482">
        <v>0</v>
      </c>
      <c r="AA482">
        <v>0</v>
      </c>
      <c r="AB482">
        <v>0</v>
      </c>
      <c r="AC482">
        <v>0</v>
      </c>
      <c r="AD482">
        <v>2760</v>
      </c>
      <c r="AE482">
        <v>0</v>
      </c>
      <c r="AF482">
        <v>0</v>
      </c>
      <c r="AG482">
        <v>3680</v>
      </c>
      <c r="AH482">
        <v>0</v>
      </c>
      <c r="AI482">
        <v>0</v>
      </c>
      <c r="AJ482">
        <v>0</v>
      </c>
      <c r="AK482">
        <v>5386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</row>
    <row r="483" spans="1:56" x14ac:dyDescent="0.3">
      <c r="A483" t="s">
        <v>126</v>
      </c>
      <c r="B483" t="s">
        <v>56</v>
      </c>
      <c r="C483">
        <v>2082</v>
      </c>
      <c r="D483">
        <v>5</v>
      </c>
      <c r="E483">
        <v>2</v>
      </c>
      <c r="F483" t="s">
        <v>65</v>
      </c>
      <c r="G483">
        <v>8890</v>
      </c>
      <c r="H483">
        <v>80</v>
      </c>
      <c r="I483">
        <v>250</v>
      </c>
      <c r="J483">
        <v>155</v>
      </c>
      <c r="K483" t="s">
        <v>86</v>
      </c>
      <c r="L483" t="s">
        <v>86</v>
      </c>
      <c r="M483" t="b">
        <v>0</v>
      </c>
      <c r="N483">
        <v>1377950</v>
      </c>
      <c r="O483" t="b">
        <f t="shared" si="14"/>
        <v>1</v>
      </c>
      <c r="P483">
        <v>8890</v>
      </c>
      <c r="Q483">
        <f t="shared" si="15"/>
        <v>0</v>
      </c>
      <c r="R483">
        <v>0</v>
      </c>
      <c r="S483">
        <v>10</v>
      </c>
      <c r="T483" t="b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3460</v>
      </c>
      <c r="AE483">
        <v>0</v>
      </c>
      <c r="AF483">
        <v>0</v>
      </c>
      <c r="AG483">
        <v>2070</v>
      </c>
      <c r="AH483">
        <v>0</v>
      </c>
      <c r="AI483">
        <v>0</v>
      </c>
      <c r="AJ483">
        <v>0</v>
      </c>
      <c r="AK483">
        <v>3360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</row>
    <row r="484" spans="1:56" x14ac:dyDescent="0.3">
      <c r="A484" t="s">
        <v>126</v>
      </c>
      <c r="B484" t="s">
        <v>56</v>
      </c>
      <c r="C484">
        <v>2082</v>
      </c>
      <c r="D484">
        <v>6</v>
      </c>
      <c r="E484">
        <v>3</v>
      </c>
      <c r="F484" t="s">
        <v>66</v>
      </c>
      <c r="G484">
        <v>6600</v>
      </c>
      <c r="H484">
        <v>200</v>
      </c>
      <c r="I484">
        <v>400</v>
      </c>
      <c r="J484">
        <v>304.69</v>
      </c>
      <c r="K484" t="s">
        <v>86</v>
      </c>
      <c r="L484" t="s">
        <v>86</v>
      </c>
      <c r="M484" t="b">
        <v>0</v>
      </c>
      <c r="N484">
        <v>2010954</v>
      </c>
      <c r="O484" t="b">
        <f t="shared" si="14"/>
        <v>1</v>
      </c>
      <c r="P484">
        <v>6600</v>
      </c>
      <c r="Q484">
        <f t="shared" si="15"/>
        <v>0</v>
      </c>
      <c r="R484">
        <v>0</v>
      </c>
      <c r="S484">
        <v>10</v>
      </c>
      <c r="T484" t="b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110</v>
      </c>
      <c r="AC484">
        <v>0</v>
      </c>
      <c r="AD484">
        <v>1640</v>
      </c>
      <c r="AE484">
        <v>0</v>
      </c>
      <c r="AF484">
        <v>0</v>
      </c>
      <c r="AG484">
        <v>2390</v>
      </c>
      <c r="AH484">
        <v>0</v>
      </c>
      <c r="AI484">
        <v>0</v>
      </c>
      <c r="AJ484">
        <v>0</v>
      </c>
      <c r="AK484">
        <v>2460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</row>
    <row r="485" spans="1:56" x14ac:dyDescent="0.3">
      <c r="A485" t="s">
        <v>126</v>
      </c>
      <c r="B485" t="s">
        <v>56</v>
      </c>
      <c r="C485">
        <v>2082</v>
      </c>
      <c r="D485">
        <v>7</v>
      </c>
      <c r="E485">
        <v>4</v>
      </c>
      <c r="F485" t="s">
        <v>67</v>
      </c>
      <c r="G485">
        <v>9125</v>
      </c>
      <c r="H485">
        <v>200</v>
      </c>
      <c r="I485">
        <v>400</v>
      </c>
      <c r="J485">
        <v>286.83999999999997</v>
      </c>
      <c r="K485" t="s">
        <v>86</v>
      </c>
      <c r="L485" t="s">
        <v>86</v>
      </c>
      <c r="M485" t="b">
        <v>0</v>
      </c>
      <c r="N485">
        <v>2617415</v>
      </c>
      <c r="O485" t="b">
        <f t="shared" si="14"/>
        <v>1</v>
      </c>
      <c r="P485">
        <v>9125</v>
      </c>
      <c r="Q485">
        <f t="shared" si="15"/>
        <v>0</v>
      </c>
      <c r="R485">
        <v>0</v>
      </c>
      <c r="S485">
        <v>10</v>
      </c>
      <c r="T485" t="b">
        <v>1</v>
      </c>
      <c r="U485">
        <v>0</v>
      </c>
      <c r="V485">
        <v>0</v>
      </c>
      <c r="W485">
        <v>0</v>
      </c>
      <c r="X485">
        <v>0</v>
      </c>
      <c r="Y485">
        <v>1005</v>
      </c>
      <c r="Z485">
        <v>0</v>
      </c>
      <c r="AA485">
        <v>0</v>
      </c>
      <c r="AB485">
        <v>160</v>
      </c>
      <c r="AC485">
        <v>0</v>
      </c>
      <c r="AD485">
        <v>2060</v>
      </c>
      <c r="AE485">
        <v>0</v>
      </c>
      <c r="AF485">
        <v>0</v>
      </c>
      <c r="AG485">
        <v>2300</v>
      </c>
      <c r="AH485">
        <v>0</v>
      </c>
      <c r="AI485">
        <v>0</v>
      </c>
      <c r="AJ485">
        <v>0</v>
      </c>
      <c r="AK485">
        <v>3600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</row>
    <row r="486" spans="1:56" x14ac:dyDescent="0.3">
      <c r="A486" t="s">
        <v>126</v>
      </c>
      <c r="B486" t="s">
        <v>56</v>
      </c>
      <c r="C486">
        <v>2082</v>
      </c>
      <c r="D486">
        <v>8</v>
      </c>
      <c r="E486">
        <v>5</v>
      </c>
      <c r="F486" t="s">
        <v>68</v>
      </c>
      <c r="G486">
        <v>10450</v>
      </c>
      <c r="H486">
        <v>150</v>
      </c>
      <c r="I486">
        <v>350</v>
      </c>
      <c r="J486">
        <v>202.63</v>
      </c>
      <c r="K486" t="s">
        <v>86</v>
      </c>
      <c r="L486" t="s">
        <v>86</v>
      </c>
      <c r="M486" t="b">
        <v>0</v>
      </c>
      <c r="N486">
        <v>2117483.5</v>
      </c>
      <c r="O486" t="b">
        <f t="shared" si="14"/>
        <v>1</v>
      </c>
      <c r="P486">
        <v>10450</v>
      </c>
      <c r="Q486">
        <f t="shared" si="15"/>
        <v>0</v>
      </c>
      <c r="R486">
        <v>0</v>
      </c>
      <c r="S486">
        <v>10</v>
      </c>
      <c r="T486" t="b">
        <v>1</v>
      </c>
      <c r="U486">
        <v>0</v>
      </c>
      <c r="V486">
        <v>0</v>
      </c>
      <c r="W486">
        <v>0</v>
      </c>
      <c r="X486">
        <v>0</v>
      </c>
      <c r="Y486">
        <v>2490</v>
      </c>
      <c r="Z486">
        <v>0</v>
      </c>
      <c r="AA486">
        <v>0</v>
      </c>
      <c r="AB486">
        <v>0</v>
      </c>
      <c r="AC486">
        <v>0</v>
      </c>
      <c r="AD486">
        <v>940</v>
      </c>
      <c r="AE486">
        <v>0</v>
      </c>
      <c r="AF486">
        <v>0</v>
      </c>
      <c r="AG486">
        <v>2890</v>
      </c>
      <c r="AH486">
        <v>0</v>
      </c>
      <c r="AI486">
        <v>0</v>
      </c>
      <c r="AJ486">
        <v>0</v>
      </c>
      <c r="AK486">
        <v>4130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</row>
    <row r="487" spans="1:56" x14ac:dyDescent="0.3">
      <c r="A487" t="s">
        <v>126</v>
      </c>
      <c r="B487" t="s">
        <v>56</v>
      </c>
      <c r="C487">
        <v>2082</v>
      </c>
      <c r="D487">
        <v>9</v>
      </c>
      <c r="E487">
        <v>6</v>
      </c>
      <c r="F487" t="s">
        <v>57</v>
      </c>
      <c r="G487">
        <v>16938</v>
      </c>
      <c r="H487">
        <v>100</v>
      </c>
      <c r="I487">
        <v>200</v>
      </c>
      <c r="J487">
        <v>150</v>
      </c>
      <c r="K487" t="s">
        <v>86</v>
      </c>
      <c r="L487" t="s">
        <v>86</v>
      </c>
      <c r="M487" t="b">
        <v>0</v>
      </c>
      <c r="N487">
        <v>2540700</v>
      </c>
      <c r="O487" t="b">
        <f t="shared" si="14"/>
        <v>1</v>
      </c>
      <c r="P487">
        <v>16938</v>
      </c>
      <c r="Q487">
        <f t="shared" si="15"/>
        <v>0</v>
      </c>
      <c r="R487">
        <v>0</v>
      </c>
      <c r="S487">
        <v>10</v>
      </c>
      <c r="T487" t="b">
        <v>1</v>
      </c>
      <c r="U487">
        <v>0</v>
      </c>
      <c r="V487">
        <v>0</v>
      </c>
      <c r="W487">
        <v>0</v>
      </c>
      <c r="X487">
        <v>0</v>
      </c>
      <c r="Y487">
        <v>5610</v>
      </c>
      <c r="Z487">
        <v>0</v>
      </c>
      <c r="AA487">
        <v>0</v>
      </c>
      <c r="AB487">
        <v>210</v>
      </c>
      <c r="AC487">
        <v>0</v>
      </c>
      <c r="AD487">
        <v>0</v>
      </c>
      <c r="AE487">
        <v>0</v>
      </c>
      <c r="AF487">
        <v>0</v>
      </c>
      <c r="AG487">
        <v>3120</v>
      </c>
      <c r="AH487">
        <v>0</v>
      </c>
      <c r="AI487">
        <v>0</v>
      </c>
      <c r="AJ487">
        <v>0</v>
      </c>
      <c r="AK487">
        <v>6070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1928</v>
      </c>
      <c r="BA487">
        <v>0</v>
      </c>
      <c r="BB487">
        <v>0</v>
      </c>
      <c r="BC487">
        <v>0</v>
      </c>
      <c r="BD487">
        <v>0</v>
      </c>
    </row>
    <row r="488" spans="1:56" x14ac:dyDescent="0.3">
      <c r="A488" t="s">
        <v>126</v>
      </c>
      <c r="B488" t="s">
        <v>56</v>
      </c>
      <c r="C488">
        <v>2082</v>
      </c>
      <c r="D488">
        <v>10</v>
      </c>
      <c r="E488">
        <v>7</v>
      </c>
      <c r="F488" t="s">
        <v>59</v>
      </c>
      <c r="G488">
        <v>14030</v>
      </c>
      <c r="H488">
        <v>50</v>
      </c>
      <c r="I488">
        <v>150</v>
      </c>
      <c r="J488">
        <v>107.29</v>
      </c>
      <c r="K488" t="s">
        <v>86</v>
      </c>
      <c r="L488" t="s">
        <v>86</v>
      </c>
      <c r="M488" t="b">
        <v>0</v>
      </c>
      <c r="N488">
        <v>1505278.7</v>
      </c>
      <c r="O488" t="b">
        <f t="shared" si="14"/>
        <v>1</v>
      </c>
      <c r="P488">
        <v>14030</v>
      </c>
      <c r="Q488">
        <f t="shared" si="15"/>
        <v>0</v>
      </c>
      <c r="R488">
        <v>0</v>
      </c>
      <c r="S488">
        <v>10</v>
      </c>
      <c r="T488" t="b">
        <v>1</v>
      </c>
      <c r="U488">
        <v>0</v>
      </c>
      <c r="V488">
        <v>0</v>
      </c>
      <c r="W488">
        <v>0</v>
      </c>
      <c r="X488">
        <v>0</v>
      </c>
      <c r="Y488">
        <v>3670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2110</v>
      </c>
      <c r="AH488">
        <v>0</v>
      </c>
      <c r="AI488">
        <v>0</v>
      </c>
      <c r="AJ488">
        <v>0</v>
      </c>
      <c r="AK488">
        <v>3940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3790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520</v>
      </c>
      <c r="BA488">
        <v>0</v>
      </c>
      <c r="BB488">
        <v>0</v>
      </c>
      <c r="BC488">
        <v>0</v>
      </c>
      <c r="BD488">
        <v>0</v>
      </c>
    </row>
    <row r="489" spans="1:56" x14ac:dyDescent="0.3">
      <c r="A489" t="s">
        <v>126</v>
      </c>
      <c r="B489" t="s">
        <v>56</v>
      </c>
      <c r="C489">
        <v>2082</v>
      </c>
      <c r="D489">
        <v>11</v>
      </c>
      <c r="E489">
        <v>8</v>
      </c>
      <c r="F489" t="s">
        <v>60</v>
      </c>
      <c r="G489">
        <v>7050</v>
      </c>
      <c r="H489">
        <v>50</v>
      </c>
      <c r="I489">
        <v>150</v>
      </c>
      <c r="J489">
        <v>94.44</v>
      </c>
      <c r="K489" t="s">
        <v>86</v>
      </c>
      <c r="L489" t="s">
        <v>86</v>
      </c>
      <c r="M489" t="b">
        <v>0</v>
      </c>
      <c r="N489">
        <v>665802</v>
      </c>
      <c r="O489" t="b">
        <f t="shared" si="14"/>
        <v>0</v>
      </c>
      <c r="P489">
        <v>7260</v>
      </c>
      <c r="Q489">
        <f t="shared" si="15"/>
        <v>210</v>
      </c>
      <c r="R489">
        <v>0</v>
      </c>
      <c r="S489">
        <v>10</v>
      </c>
      <c r="T489" t="b">
        <v>1</v>
      </c>
      <c r="U489">
        <v>0</v>
      </c>
      <c r="V489">
        <v>0</v>
      </c>
      <c r="W489">
        <v>0</v>
      </c>
      <c r="X489">
        <v>0</v>
      </c>
      <c r="Y489">
        <v>700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1980</v>
      </c>
      <c r="AH489">
        <v>0</v>
      </c>
      <c r="AI489">
        <v>0</v>
      </c>
      <c r="AJ489">
        <v>0</v>
      </c>
      <c r="AK489">
        <v>4330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250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</row>
    <row r="490" spans="1:56" x14ac:dyDescent="0.3">
      <c r="A490" t="s">
        <v>126</v>
      </c>
      <c r="B490" t="s">
        <v>56</v>
      </c>
      <c r="C490">
        <v>2082</v>
      </c>
      <c r="D490">
        <v>12</v>
      </c>
      <c r="E490">
        <v>9</v>
      </c>
      <c r="F490" t="s">
        <v>61</v>
      </c>
      <c r="G490">
        <v>9310</v>
      </c>
      <c r="H490">
        <v>30</v>
      </c>
      <c r="I490">
        <v>60</v>
      </c>
      <c r="J490">
        <v>47.27</v>
      </c>
      <c r="K490" t="s">
        <v>86</v>
      </c>
      <c r="L490" t="s">
        <v>86</v>
      </c>
      <c r="M490" t="b">
        <v>0</v>
      </c>
      <c r="N490">
        <v>440083.7</v>
      </c>
      <c r="O490" t="b">
        <f t="shared" si="14"/>
        <v>1</v>
      </c>
      <c r="P490">
        <v>9310</v>
      </c>
      <c r="Q490">
        <f t="shared" si="15"/>
        <v>0</v>
      </c>
      <c r="R490">
        <v>0</v>
      </c>
      <c r="S490">
        <v>10</v>
      </c>
      <c r="T490" t="b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3480</v>
      </c>
      <c r="AH490">
        <v>0</v>
      </c>
      <c r="AI490">
        <v>0</v>
      </c>
      <c r="AJ490">
        <v>0</v>
      </c>
      <c r="AK490">
        <v>5830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</row>
    <row r="491" spans="1:56" x14ac:dyDescent="0.3">
      <c r="A491" t="s">
        <v>126</v>
      </c>
      <c r="B491" t="s">
        <v>56</v>
      </c>
      <c r="C491">
        <v>2083</v>
      </c>
      <c r="D491">
        <v>1</v>
      </c>
      <c r="E491">
        <v>10</v>
      </c>
      <c r="F491" t="s">
        <v>62</v>
      </c>
      <c r="G491">
        <v>6637</v>
      </c>
      <c r="H491">
        <v>30</v>
      </c>
      <c r="I491">
        <v>60</v>
      </c>
      <c r="J491">
        <v>39.78</v>
      </c>
      <c r="K491" t="s">
        <v>86</v>
      </c>
      <c r="L491" t="s">
        <v>86</v>
      </c>
      <c r="M491" t="b">
        <v>0</v>
      </c>
      <c r="N491">
        <v>264019.86</v>
      </c>
      <c r="O491" t="b">
        <f t="shared" si="14"/>
        <v>1</v>
      </c>
      <c r="P491">
        <v>6637</v>
      </c>
      <c r="Q491">
        <f t="shared" si="15"/>
        <v>0</v>
      </c>
      <c r="R491">
        <v>0</v>
      </c>
      <c r="S491">
        <v>10</v>
      </c>
      <c r="T491" t="b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2822</v>
      </c>
      <c r="AH491">
        <v>0</v>
      </c>
      <c r="AI491">
        <v>0</v>
      </c>
      <c r="AJ491">
        <v>0</v>
      </c>
      <c r="AK491">
        <v>3815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</row>
    <row r="492" spans="1:56" x14ac:dyDescent="0.3">
      <c r="A492" t="s">
        <v>127</v>
      </c>
      <c r="B492" t="s">
        <v>64</v>
      </c>
      <c r="C492">
        <v>2082</v>
      </c>
      <c r="D492">
        <v>4</v>
      </c>
      <c r="E492">
        <v>1</v>
      </c>
      <c r="F492" t="s">
        <v>70</v>
      </c>
      <c r="G492">
        <v>12480</v>
      </c>
      <c r="H492">
        <v>280</v>
      </c>
      <c r="I492">
        <v>300</v>
      </c>
      <c r="J492">
        <v>275</v>
      </c>
      <c r="K492" t="s">
        <v>58</v>
      </c>
      <c r="L492" t="s">
        <v>58</v>
      </c>
      <c r="M492" t="b">
        <v>0</v>
      </c>
      <c r="N492">
        <v>3432000</v>
      </c>
      <c r="O492" t="b">
        <f t="shared" si="14"/>
        <v>1</v>
      </c>
      <c r="P492">
        <v>12480</v>
      </c>
      <c r="Q492">
        <f t="shared" si="15"/>
        <v>0</v>
      </c>
      <c r="R492">
        <v>1</v>
      </c>
      <c r="S492">
        <v>10</v>
      </c>
      <c r="T492" t="b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10940</v>
      </c>
      <c r="AA492">
        <v>0</v>
      </c>
      <c r="AB492">
        <v>0</v>
      </c>
      <c r="AC492">
        <v>0</v>
      </c>
      <c r="AD492">
        <v>0</v>
      </c>
      <c r="AE492">
        <v>1540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</row>
    <row r="493" spans="1:56" x14ac:dyDescent="0.3">
      <c r="A493" t="s">
        <v>127</v>
      </c>
      <c r="B493" t="s">
        <v>64</v>
      </c>
      <c r="C493">
        <v>2082</v>
      </c>
      <c r="D493">
        <v>5</v>
      </c>
      <c r="E493">
        <v>2</v>
      </c>
      <c r="F493" t="s">
        <v>65</v>
      </c>
      <c r="G493">
        <v>5670</v>
      </c>
      <c r="H493">
        <v>140</v>
      </c>
      <c r="I493">
        <v>350</v>
      </c>
      <c r="J493">
        <v>242.54</v>
      </c>
      <c r="K493" t="s">
        <v>58</v>
      </c>
      <c r="L493" t="s">
        <v>58</v>
      </c>
      <c r="M493" t="b">
        <v>0</v>
      </c>
      <c r="N493">
        <v>1375201.8</v>
      </c>
      <c r="O493" t="b">
        <f t="shared" si="14"/>
        <v>1</v>
      </c>
      <c r="P493">
        <v>5670</v>
      </c>
      <c r="Q493">
        <f t="shared" si="15"/>
        <v>0</v>
      </c>
      <c r="R493">
        <v>1</v>
      </c>
      <c r="S493">
        <v>10</v>
      </c>
      <c r="T493" t="b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3860</v>
      </c>
      <c r="AA493">
        <v>0</v>
      </c>
      <c r="AB493">
        <v>0</v>
      </c>
      <c r="AC493">
        <v>0</v>
      </c>
      <c r="AD493">
        <v>0</v>
      </c>
      <c r="AE493">
        <v>1810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</row>
    <row r="494" spans="1:56" x14ac:dyDescent="0.3">
      <c r="A494" t="s">
        <v>127</v>
      </c>
      <c r="B494" t="s">
        <v>64</v>
      </c>
      <c r="C494">
        <v>2082</v>
      </c>
      <c r="D494">
        <v>6</v>
      </c>
      <c r="E494">
        <v>3</v>
      </c>
      <c r="F494" t="s">
        <v>66</v>
      </c>
      <c r="G494">
        <v>118570</v>
      </c>
      <c r="H494">
        <v>0</v>
      </c>
      <c r="I494">
        <v>0</v>
      </c>
      <c r="J494">
        <v>125</v>
      </c>
      <c r="K494" t="s">
        <v>58</v>
      </c>
      <c r="L494" t="s">
        <v>58</v>
      </c>
      <c r="M494" t="b">
        <v>0</v>
      </c>
      <c r="N494">
        <v>14821250</v>
      </c>
      <c r="O494" t="b">
        <f t="shared" si="14"/>
        <v>1</v>
      </c>
      <c r="P494">
        <v>118570</v>
      </c>
      <c r="Q494">
        <f t="shared" si="15"/>
        <v>0</v>
      </c>
      <c r="R494">
        <v>1</v>
      </c>
      <c r="S494">
        <v>10</v>
      </c>
      <c r="T494" t="b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4490</v>
      </c>
      <c r="AA494">
        <v>0</v>
      </c>
      <c r="AB494">
        <v>0</v>
      </c>
      <c r="AC494">
        <v>0</v>
      </c>
      <c r="AD494">
        <v>0</v>
      </c>
      <c r="AE494">
        <v>114080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</row>
    <row r="495" spans="1:56" x14ac:dyDescent="0.3">
      <c r="A495" t="s">
        <v>127</v>
      </c>
      <c r="B495" t="s">
        <v>64</v>
      </c>
      <c r="C495">
        <v>2082</v>
      </c>
      <c r="D495">
        <v>7</v>
      </c>
      <c r="E495">
        <v>4</v>
      </c>
      <c r="F495" t="s">
        <v>67</v>
      </c>
      <c r="G495">
        <v>323385</v>
      </c>
      <c r="H495">
        <v>80</v>
      </c>
      <c r="I495">
        <v>120</v>
      </c>
      <c r="J495">
        <v>101.35</v>
      </c>
      <c r="K495" t="s">
        <v>58</v>
      </c>
      <c r="L495" t="s">
        <v>58</v>
      </c>
      <c r="M495" t="b">
        <v>0</v>
      </c>
      <c r="N495">
        <v>32775069.75</v>
      </c>
      <c r="O495" t="b">
        <f t="shared" si="14"/>
        <v>1</v>
      </c>
      <c r="P495">
        <v>323385</v>
      </c>
      <c r="Q495">
        <f t="shared" si="15"/>
        <v>0</v>
      </c>
      <c r="R495">
        <v>6.3252779195077005E-2</v>
      </c>
      <c r="S495">
        <v>10</v>
      </c>
      <c r="T495" t="b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20455</v>
      </c>
      <c r="AF495">
        <v>0</v>
      </c>
      <c r="AG495">
        <v>0</v>
      </c>
      <c r="AH495">
        <v>0</v>
      </c>
      <c r="AI495">
        <v>0</v>
      </c>
      <c r="AJ495">
        <v>4900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107805</v>
      </c>
      <c r="BD495">
        <v>190225</v>
      </c>
    </row>
    <row r="496" spans="1:56" x14ac:dyDescent="0.3">
      <c r="A496" t="s">
        <v>127</v>
      </c>
      <c r="B496" t="s">
        <v>64</v>
      </c>
      <c r="C496">
        <v>2082</v>
      </c>
      <c r="D496">
        <v>8</v>
      </c>
      <c r="E496">
        <v>5</v>
      </c>
      <c r="F496" t="s">
        <v>68</v>
      </c>
      <c r="G496">
        <v>506350</v>
      </c>
      <c r="H496">
        <v>70</v>
      </c>
      <c r="I496">
        <v>120</v>
      </c>
      <c r="J496">
        <v>93.71</v>
      </c>
      <c r="K496" t="s">
        <v>58</v>
      </c>
      <c r="L496" t="s">
        <v>58</v>
      </c>
      <c r="M496" t="b">
        <v>0</v>
      </c>
      <c r="N496">
        <v>47450058.5</v>
      </c>
      <c r="O496" t="b">
        <f t="shared" si="14"/>
        <v>1</v>
      </c>
      <c r="P496">
        <v>506350</v>
      </c>
      <c r="Q496">
        <f t="shared" si="15"/>
        <v>0</v>
      </c>
      <c r="R496">
        <v>0</v>
      </c>
      <c r="S496">
        <v>10</v>
      </c>
      <c r="T496" t="b">
        <v>1</v>
      </c>
      <c r="U496">
        <v>0</v>
      </c>
      <c r="V496">
        <v>0</v>
      </c>
      <c r="W496">
        <v>12200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39820</v>
      </c>
      <c r="AK496">
        <v>1580</v>
      </c>
      <c r="AL496">
        <v>0</v>
      </c>
      <c r="AM496">
        <v>0</v>
      </c>
      <c r="AN496">
        <v>0</v>
      </c>
      <c r="AO496">
        <v>75930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246690</v>
      </c>
      <c r="BD496">
        <v>130130</v>
      </c>
    </row>
    <row r="497" spans="1:56" x14ac:dyDescent="0.3">
      <c r="A497" t="s">
        <v>127</v>
      </c>
      <c r="B497" t="s">
        <v>64</v>
      </c>
      <c r="C497">
        <v>2082</v>
      </c>
      <c r="D497">
        <v>9</v>
      </c>
      <c r="E497">
        <v>6</v>
      </c>
      <c r="F497" t="s">
        <v>57</v>
      </c>
      <c r="G497">
        <v>436190</v>
      </c>
      <c r="H497">
        <v>60</v>
      </c>
      <c r="I497">
        <v>150</v>
      </c>
      <c r="J497">
        <v>92.5</v>
      </c>
      <c r="K497" t="s">
        <v>58</v>
      </c>
      <c r="L497" t="s">
        <v>58</v>
      </c>
      <c r="M497" t="b">
        <v>0</v>
      </c>
      <c r="N497">
        <v>40347575</v>
      </c>
      <c r="O497" t="b">
        <f t="shared" si="14"/>
        <v>0</v>
      </c>
      <c r="P497">
        <v>436110</v>
      </c>
      <c r="Q497">
        <f t="shared" si="15"/>
        <v>80</v>
      </c>
      <c r="R497">
        <v>2.5532549127513699E-2</v>
      </c>
      <c r="S497">
        <v>10</v>
      </c>
      <c r="T497" t="b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11135</v>
      </c>
      <c r="AF497">
        <v>0</v>
      </c>
      <c r="AG497">
        <v>0</v>
      </c>
      <c r="AH497">
        <v>0</v>
      </c>
      <c r="AI497">
        <v>0</v>
      </c>
      <c r="AJ497">
        <v>2875</v>
      </c>
      <c r="AK497">
        <v>0</v>
      </c>
      <c r="AL497">
        <v>0</v>
      </c>
      <c r="AM497">
        <v>0</v>
      </c>
      <c r="AN497">
        <v>0</v>
      </c>
      <c r="AO497">
        <v>194160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19600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204800</v>
      </c>
      <c r="BD497">
        <v>3540</v>
      </c>
    </row>
    <row r="498" spans="1:56" x14ac:dyDescent="0.3">
      <c r="A498" t="s">
        <v>127</v>
      </c>
      <c r="B498" t="s">
        <v>64</v>
      </c>
      <c r="C498">
        <v>2082</v>
      </c>
      <c r="D498">
        <v>10</v>
      </c>
      <c r="E498">
        <v>7</v>
      </c>
      <c r="F498" t="s">
        <v>59</v>
      </c>
      <c r="G498">
        <v>261850</v>
      </c>
      <c r="H498">
        <v>70</v>
      </c>
      <c r="I498">
        <v>220</v>
      </c>
      <c r="J498">
        <v>170.43</v>
      </c>
      <c r="K498" t="s">
        <v>58</v>
      </c>
      <c r="L498" t="s">
        <v>58</v>
      </c>
      <c r="M498" t="b">
        <v>0</v>
      </c>
      <c r="N498">
        <v>44627095.5</v>
      </c>
      <c r="O498" t="b">
        <f t="shared" si="14"/>
        <v>1</v>
      </c>
      <c r="P498">
        <v>261850</v>
      </c>
      <c r="Q498">
        <f t="shared" si="15"/>
        <v>0</v>
      </c>
      <c r="R498">
        <v>0.233530647317166</v>
      </c>
      <c r="S498">
        <v>10</v>
      </c>
      <c r="T498" t="b">
        <v>1</v>
      </c>
      <c r="U498">
        <v>24680</v>
      </c>
      <c r="V498">
        <v>0</v>
      </c>
      <c r="W498">
        <v>0</v>
      </c>
      <c r="X498">
        <v>0</v>
      </c>
      <c r="Y498">
        <v>0</v>
      </c>
      <c r="Z498">
        <v>28750</v>
      </c>
      <c r="AA498">
        <v>0</v>
      </c>
      <c r="AB498">
        <v>0</v>
      </c>
      <c r="AC498">
        <v>0</v>
      </c>
      <c r="AD498">
        <v>0</v>
      </c>
      <c r="AE498">
        <v>32400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39340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63260</v>
      </c>
      <c r="AV498">
        <v>0</v>
      </c>
      <c r="AW498">
        <v>0</v>
      </c>
      <c r="AX498">
        <v>0</v>
      </c>
      <c r="AY498">
        <v>38520</v>
      </c>
      <c r="AZ498">
        <v>0</v>
      </c>
      <c r="BA498">
        <v>0</v>
      </c>
      <c r="BB498">
        <v>0</v>
      </c>
      <c r="BC498">
        <v>34900</v>
      </c>
      <c r="BD498">
        <v>0</v>
      </c>
    </row>
    <row r="499" spans="1:56" x14ac:dyDescent="0.3">
      <c r="A499" t="s">
        <v>127</v>
      </c>
      <c r="B499" t="s">
        <v>64</v>
      </c>
      <c r="C499">
        <v>2082</v>
      </c>
      <c r="D499">
        <v>11</v>
      </c>
      <c r="E499">
        <v>8</v>
      </c>
      <c r="F499" t="s">
        <v>60</v>
      </c>
      <c r="G499">
        <v>201585</v>
      </c>
      <c r="H499">
        <v>150</v>
      </c>
      <c r="I499">
        <v>220</v>
      </c>
      <c r="J499">
        <v>185</v>
      </c>
      <c r="K499" t="s">
        <v>58</v>
      </c>
      <c r="L499" t="s">
        <v>58</v>
      </c>
      <c r="M499" t="b">
        <v>0</v>
      </c>
      <c r="N499">
        <v>37293225</v>
      </c>
      <c r="O499" t="b">
        <f t="shared" si="14"/>
        <v>1</v>
      </c>
      <c r="P499">
        <v>201585</v>
      </c>
      <c r="Q499">
        <f t="shared" si="15"/>
        <v>0</v>
      </c>
      <c r="R499">
        <v>0.945878909641094</v>
      </c>
      <c r="S499">
        <v>10</v>
      </c>
      <c r="T499" t="b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190675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5800</v>
      </c>
      <c r="AV499">
        <v>0</v>
      </c>
      <c r="AW499">
        <v>0</v>
      </c>
      <c r="AX499">
        <v>0</v>
      </c>
      <c r="AY499">
        <v>5110</v>
      </c>
      <c r="AZ499">
        <v>0</v>
      </c>
      <c r="BA499">
        <v>0</v>
      </c>
      <c r="BB499">
        <v>0</v>
      </c>
      <c r="BC499">
        <v>0</v>
      </c>
      <c r="BD499">
        <v>0</v>
      </c>
    </row>
    <row r="500" spans="1:56" x14ac:dyDescent="0.3">
      <c r="A500" t="s">
        <v>127</v>
      </c>
      <c r="B500" t="s">
        <v>64</v>
      </c>
      <c r="C500">
        <v>2082</v>
      </c>
      <c r="D500">
        <v>12</v>
      </c>
      <c r="E500">
        <v>9</v>
      </c>
      <c r="F500" t="s">
        <v>61</v>
      </c>
      <c r="G500">
        <v>338495</v>
      </c>
      <c r="H500">
        <v>140</v>
      </c>
      <c r="I500">
        <v>220</v>
      </c>
      <c r="J500">
        <v>164.55</v>
      </c>
      <c r="K500" t="s">
        <v>58</v>
      </c>
      <c r="L500" t="s">
        <v>58</v>
      </c>
      <c r="M500" t="b">
        <v>0</v>
      </c>
      <c r="N500">
        <v>55699352.25</v>
      </c>
      <c r="O500" t="b">
        <f t="shared" si="14"/>
        <v>1</v>
      </c>
      <c r="P500">
        <v>338495</v>
      </c>
      <c r="Q500">
        <f t="shared" si="15"/>
        <v>0</v>
      </c>
      <c r="R500">
        <v>1</v>
      </c>
      <c r="S500">
        <v>10</v>
      </c>
      <c r="T500" t="b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350</v>
      </c>
      <c r="AA500">
        <v>0</v>
      </c>
      <c r="AB500">
        <v>0</v>
      </c>
      <c r="AC500">
        <v>0</v>
      </c>
      <c r="AD500">
        <v>0</v>
      </c>
      <c r="AE500">
        <v>338145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</row>
    <row r="501" spans="1:56" x14ac:dyDescent="0.3">
      <c r="A501" t="s">
        <v>127</v>
      </c>
      <c r="B501" t="s">
        <v>64</v>
      </c>
      <c r="C501">
        <v>2083</v>
      </c>
      <c r="D501">
        <v>1</v>
      </c>
      <c r="E501">
        <v>10</v>
      </c>
      <c r="F501" t="s">
        <v>62</v>
      </c>
      <c r="G501">
        <v>107750</v>
      </c>
      <c r="H501">
        <v>140</v>
      </c>
      <c r="I501">
        <v>300</v>
      </c>
      <c r="J501">
        <v>209.57</v>
      </c>
      <c r="K501" t="s">
        <v>58</v>
      </c>
      <c r="L501" t="s">
        <v>58</v>
      </c>
      <c r="M501" t="b">
        <v>0</v>
      </c>
      <c r="N501">
        <v>22581167.5</v>
      </c>
      <c r="O501" t="b">
        <f t="shared" si="14"/>
        <v>1</v>
      </c>
      <c r="P501">
        <v>107750</v>
      </c>
      <c r="Q501">
        <f t="shared" si="15"/>
        <v>0</v>
      </c>
      <c r="R501">
        <v>1</v>
      </c>
      <c r="S501">
        <v>10</v>
      </c>
      <c r="T501" t="b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36040</v>
      </c>
      <c r="AA501">
        <v>0</v>
      </c>
      <c r="AB501">
        <v>0</v>
      </c>
      <c r="AC501">
        <v>0</v>
      </c>
      <c r="AD501">
        <v>0</v>
      </c>
      <c r="AE501">
        <v>71710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</row>
    <row r="502" spans="1:56" x14ac:dyDescent="0.3">
      <c r="A502" t="s">
        <v>128</v>
      </c>
      <c r="B502" t="s">
        <v>64</v>
      </c>
      <c r="C502">
        <v>2082</v>
      </c>
      <c r="D502">
        <v>10</v>
      </c>
      <c r="E502">
        <v>7</v>
      </c>
      <c r="F502" t="s">
        <v>59</v>
      </c>
      <c r="G502">
        <v>1770</v>
      </c>
      <c r="H502">
        <v>100</v>
      </c>
      <c r="I502">
        <v>120</v>
      </c>
      <c r="J502">
        <v>110</v>
      </c>
      <c r="K502" t="s">
        <v>58</v>
      </c>
      <c r="L502" t="s">
        <v>58</v>
      </c>
      <c r="M502" t="b">
        <v>0</v>
      </c>
      <c r="N502">
        <v>194700</v>
      </c>
      <c r="O502" t="b">
        <f t="shared" si="14"/>
        <v>1</v>
      </c>
      <c r="P502">
        <v>1770</v>
      </c>
      <c r="Q502">
        <f t="shared" si="15"/>
        <v>0</v>
      </c>
      <c r="R502">
        <v>1</v>
      </c>
      <c r="S502">
        <v>1</v>
      </c>
      <c r="T502" t="b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1770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</row>
    <row r="503" spans="1:56" x14ac:dyDescent="0.3">
      <c r="A503" t="s">
        <v>128</v>
      </c>
      <c r="B503" t="s">
        <v>64</v>
      </c>
      <c r="C503">
        <v>2082</v>
      </c>
      <c r="D503">
        <v>4</v>
      </c>
      <c r="E503">
        <v>1</v>
      </c>
      <c r="F503" t="s">
        <v>70</v>
      </c>
      <c r="G503">
        <v>8110</v>
      </c>
      <c r="H503">
        <v>100</v>
      </c>
      <c r="I503">
        <v>120</v>
      </c>
      <c r="J503">
        <v>110</v>
      </c>
      <c r="K503" t="s">
        <v>58</v>
      </c>
      <c r="L503" t="s">
        <v>58</v>
      </c>
      <c r="M503" t="b">
        <v>0</v>
      </c>
      <c r="N503">
        <v>892100</v>
      </c>
      <c r="O503" t="b">
        <f t="shared" si="14"/>
        <v>1</v>
      </c>
      <c r="P503">
        <v>8110</v>
      </c>
      <c r="Q503">
        <f t="shared" si="15"/>
        <v>0</v>
      </c>
      <c r="R503">
        <v>1</v>
      </c>
      <c r="S503">
        <v>9</v>
      </c>
      <c r="T503" t="b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2610</v>
      </c>
      <c r="AA503">
        <v>0</v>
      </c>
      <c r="AB503">
        <v>0</v>
      </c>
      <c r="AC503">
        <v>0</v>
      </c>
      <c r="AD503">
        <v>0</v>
      </c>
      <c r="AE503">
        <v>5500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</row>
    <row r="504" spans="1:56" x14ac:dyDescent="0.3">
      <c r="A504" t="s">
        <v>128</v>
      </c>
      <c r="B504" t="s">
        <v>64</v>
      </c>
      <c r="C504">
        <v>2082</v>
      </c>
      <c r="D504">
        <v>5</v>
      </c>
      <c r="E504">
        <v>2</v>
      </c>
      <c r="F504" t="s">
        <v>65</v>
      </c>
      <c r="G504">
        <v>6170</v>
      </c>
      <c r="H504">
        <v>100</v>
      </c>
      <c r="I504">
        <v>120</v>
      </c>
      <c r="J504">
        <v>110</v>
      </c>
      <c r="K504" t="s">
        <v>58</v>
      </c>
      <c r="L504" t="s">
        <v>58</v>
      </c>
      <c r="M504" t="b">
        <v>0</v>
      </c>
      <c r="N504">
        <v>678700</v>
      </c>
      <c r="O504" t="b">
        <f t="shared" si="14"/>
        <v>1</v>
      </c>
      <c r="P504">
        <v>6170</v>
      </c>
      <c r="Q504">
        <f t="shared" si="15"/>
        <v>0</v>
      </c>
      <c r="R504">
        <v>1</v>
      </c>
      <c r="S504">
        <v>9</v>
      </c>
      <c r="T504" t="b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3600</v>
      </c>
      <c r="AA504">
        <v>0</v>
      </c>
      <c r="AB504">
        <v>0</v>
      </c>
      <c r="AC504">
        <v>0</v>
      </c>
      <c r="AD504">
        <v>0</v>
      </c>
      <c r="AE504">
        <v>2570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</row>
    <row r="505" spans="1:56" x14ac:dyDescent="0.3">
      <c r="A505" t="s">
        <v>128</v>
      </c>
      <c r="B505" t="s">
        <v>64</v>
      </c>
      <c r="C505">
        <v>2082</v>
      </c>
      <c r="D505">
        <v>6</v>
      </c>
      <c r="E505">
        <v>3</v>
      </c>
      <c r="F505" t="s">
        <v>66</v>
      </c>
      <c r="G505">
        <v>2440</v>
      </c>
      <c r="H505">
        <v>100</v>
      </c>
      <c r="I505">
        <v>120</v>
      </c>
      <c r="J505">
        <v>110</v>
      </c>
      <c r="K505" t="s">
        <v>58</v>
      </c>
      <c r="L505" t="s">
        <v>58</v>
      </c>
      <c r="M505" t="b">
        <v>0</v>
      </c>
      <c r="N505">
        <v>268400</v>
      </c>
      <c r="O505" t="b">
        <f t="shared" si="14"/>
        <v>1</v>
      </c>
      <c r="P505">
        <v>2440</v>
      </c>
      <c r="Q505">
        <f t="shared" si="15"/>
        <v>0</v>
      </c>
      <c r="R505">
        <v>1</v>
      </c>
      <c r="S505">
        <v>9</v>
      </c>
      <c r="T505" t="b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2440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</row>
    <row r="506" spans="1:56" x14ac:dyDescent="0.3">
      <c r="A506" t="s">
        <v>128</v>
      </c>
      <c r="B506" t="s">
        <v>64</v>
      </c>
      <c r="C506">
        <v>2082</v>
      </c>
      <c r="D506">
        <v>7</v>
      </c>
      <c r="E506">
        <v>4</v>
      </c>
      <c r="F506" t="s">
        <v>67</v>
      </c>
      <c r="G506">
        <v>24680</v>
      </c>
      <c r="H506">
        <v>100</v>
      </c>
      <c r="I506">
        <v>120</v>
      </c>
      <c r="J506">
        <v>110</v>
      </c>
      <c r="K506" t="s">
        <v>58</v>
      </c>
      <c r="L506" t="s">
        <v>58</v>
      </c>
      <c r="M506" t="b">
        <v>0</v>
      </c>
      <c r="N506">
        <v>2714800</v>
      </c>
      <c r="O506" t="b">
        <f t="shared" si="14"/>
        <v>1</v>
      </c>
      <c r="P506">
        <v>24680</v>
      </c>
      <c r="Q506">
        <f t="shared" si="15"/>
        <v>0</v>
      </c>
      <c r="R506">
        <v>0.64059967585089095</v>
      </c>
      <c r="S506">
        <v>9</v>
      </c>
      <c r="T506" t="b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15810</v>
      </c>
      <c r="AF506">
        <v>0</v>
      </c>
      <c r="AG506">
        <v>0</v>
      </c>
      <c r="AH506">
        <v>0</v>
      </c>
      <c r="AI506">
        <v>0</v>
      </c>
      <c r="AJ506">
        <v>1190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7680</v>
      </c>
    </row>
    <row r="507" spans="1:56" x14ac:dyDescent="0.3">
      <c r="A507" t="s">
        <v>128</v>
      </c>
      <c r="B507" t="s">
        <v>64</v>
      </c>
      <c r="C507">
        <v>2082</v>
      </c>
      <c r="D507">
        <v>8</v>
      </c>
      <c r="E507">
        <v>5</v>
      </c>
      <c r="F507" t="s">
        <v>68</v>
      </c>
      <c r="G507">
        <v>3850</v>
      </c>
      <c r="H507">
        <v>100</v>
      </c>
      <c r="I507">
        <v>120</v>
      </c>
      <c r="J507">
        <v>110</v>
      </c>
      <c r="K507" t="s">
        <v>58</v>
      </c>
      <c r="L507" t="s">
        <v>58</v>
      </c>
      <c r="M507" t="b">
        <v>0</v>
      </c>
      <c r="N507">
        <v>423500</v>
      </c>
      <c r="O507" t="b">
        <f t="shared" si="14"/>
        <v>1</v>
      </c>
      <c r="P507">
        <v>3850</v>
      </c>
      <c r="Q507">
        <f t="shared" si="15"/>
        <v>0</v>
      </c>
      <c r="R507">
        <v>0</v>
      </c>
      <c r="S507">
        <v>9</v>
      </c>
      <c r="T507" t="b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3850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</row>
    <row r="508" spans="1:56" x14ac:dyDescent="0.3">
      <c r="A508" t="s">
        <v>128</v>
      </c>
      <c r="B508" t="s">
        <v>64</v>
      </c>
      <c r="C508">
        <v>2082</v>
      </c>
      <c r="D508">
        <v>9</v>
      </c>
      <c r="E508">
        <v>6</v>
      </c>
      <c r="F508" t="s">
        <v>57</v>
      </c>
      <c r="G508">
        <v>2870</v>
      </c>
      <c r="H508">
        <v>100</v>
      </c>
      <c r="I508">
        <v>120</v>
      </c>
      <c r="J508">
        <v>110</v>
      </c>
      <c r="K508" t="s">
        <v>58</v>
      </c>
      <c r="L508" t="s">
        <v>58</v>
      </c>
      <c r="M508" t="b">
        <v>0</v>
      </c>
      <c r="N508">
        <v>315700</v>
      </c>
      <c r="O508" t="b">
        <f t="shared" si="14"/>
        <v>1</v>
      </c>
      <c r="P508">
        <v>2870</v>
      </c>
      <c r="Q508">
        <f t="shared" si="15"/>
        <v>0</v>
      </c>
      <c r="R508">
        <v>0.39024390243902402</v>
      </c>
      <c r="S508">
        <v>9</v>
      </c>
      <c r="T508" t="b">
        <v>0</v>
      </c>
      <c r="U508">
        <v>520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1120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1230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</row>
    <row r="509" spans="1:56" x14ac:dyDescent="0.3">
      <c r="A509" t="s">
        <v>128</v>
      </c>
      <c r="B509" t="s">
        <v>64</v>
      </c>
      <c r="C509">
        <v>2082</v>
      </c>
      <c r="D509">
        <v>11</v>
      </c>
      <c r="E509">
        <v>8</v>
      </c>
      <c r="F509" t="s">
        <v>60</v>
      </c>
      <c r="G509">
        <v>0</v>
      </c>
      <c r="H509">
        <v>100</v>
      </c>
      <c r="I509">
        <v>120</v>
      </c>
      <c r="J509">
        <v>110</v>
      </c>
      <c r="K509" t="s">
        <v>58</v>
      </c>
      <c r="L509" t="s">
        <v>58</v>
      </c>
      <c r="M509" t="b">
        <v>0</v>
      </c>
      <c r="N509">
        <v>0</v>
      </c>
      <c r="O509" t="b">
        <f t="shared" si="14"/>
        <v>1</v>
      </c>
      <c r="P509">
        <v>0</v>
      </c>
      <c r="Q509">
        <f t="shared" si="15"/>
        <v>0</v>
      </c>
      <c r="S509">
        <v>9</v>
      </c>
      <c r="T509" t="b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</row>
    <row r="510" spans="1:56" x14ac:dyDescent="0.3">
      <c r="A510" t="s">
        <v>128</v>
      </c>
      <c r="B510" t="s">
        <v>64</v>
      </c>
      <c r="C510">
        <v>2082</v>
      </c>
      <c r="D510">
        <v>12</v>
      </c>
      <c r="E510">
        <v>9</v>
      </c>
      <c r="F510" t="s">
        <v>61</v>
      </c>
      <c r="G510">
        <v>540</v>
      </c>
      <c r="H510">
        <v>100</v>
      </c>
      <c r="I510">
        <v>120</v>
      </c>
      <c r="J510">
        <v>110</v>
      </c>
      <c r="K510" t="s">
        <v>58</v>
      </c>
      <c r="L510" t="s">
        <v>58</v>
      </c>
      <c r="M510" t="b">
        <v>0</v>
      </c>
      <c r="N510">
        <v>59400</v>
      </c>
      <c r="O510" t="b">
        <f t="shared" si="14"/>
        <v>1</v>
      </c>
      <c r="P510">
        <v>540</v>
      </c>
      <c r="Q510">
        <f t="shared" si="15"/>
        <v>0</v>
      </c>
      <c r="R510">
        <v>1</v>
      </c>
      <c r="S510">
        <v>9</v>
      </c>
      <c r="T510" t="b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540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</row>
    <row r="511" spans="1:56" x14ac:dyDescent="0.3">
      <c r="A511" t="s">
        <v>128</v>
      </c>
      <c r="B511" t="s">
        <v>64</v>
      </c>
      <c r="C511">
        <v>2083</v>
      </c>
      <c r="D511">
        <v>1</v>
      </c>
      <c r="E511">
        <v>10</v>
      </c>
      <c r="F511" t="s">
        <v>62</v>
      </c>
      <c r="G511">
        <v>0</v>
      </c>
      <c r="H511">
        <v>100</v>
      </c>
      <c r="I511">
        <v>120</v>
      </c>
      <c r="J511">
        <v>110</v>
      </c>
      <c r="K511" t="s">
        <v>58</v>
      </c>
      <c r="L511" t="s">
        <v>58</v>
      </c>
      <c r="M511" t="b">
        <v>0</v>
      </c>
      <c r="N511">
        <v>0</v>
      </c>
      <c r="O511" t="b">
        <f t="shared" si="14"/>
        <v>1</v>
      </c>
      <c r="P511">
        <v>0</v>
      </c>
      <c r="Q511">
        <f t="shared" si="15"/>
        <v>0</v>
      </c>
      <c r="S511">
        <v>9</v>
      </c>
      <c r="T511" t="b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</row>
    <row r="512" spans="1:56" x14ac:dyDescent="0.3">
      <c r="A512" t="s">
        <v>129</v>
      </c>
      <c r="B512" t="s">
        <v>64</v>
      </c>
      <c r="C512">
        <v>2082</v>
      </c>
      <c r="D512">
        <v>4</v>
      </c>
      <c r="E512">
        <v>1</v>
      </c>
      <c r="F512" t="s">
        <v>70</v>
      </c>
      <c r="G512">
        <v>175710</v>
      </c>
      <c r="H512">
        <v>80</v>
      </c>
      <c r="I512">
        <v>120</v>
      </c>
      <c r="J512">
        <v>104.4</v>
      </c>
      <c r="K512" t="s">
        <v>58</v>
      </c>
      <c r="L512" t="s">
        <v>58</v>
      </c>
      <c r="M512" t="b">
        <v>0</v>
      </c>
      <c r="N512">
        <v>18344124</v>
      </c>
      <c r="O512" t="b">
        <f t="shared" si="14"/>
        <v>0</v>
      </c>
      <c r="P512">
        <v>188960</v>
      </c>
      <c r="Q512">
        <f t="shared" si="15"/>
        <v>13250</v>
      </c>
      <c r="R512">
        <v>0.995554614733276</v>
      </c>
      <c r="S512">
        <v>10</v>
      </c>
      <c r="T512" t="b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188120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840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</row>
    <row r="513" spans="1:56" x14ac:dyDescent="0.3">
      <c r="A513" t="s">
        <v>129</v>
      </c>
      <c r="B513" t="s">
        <v>64</v>
      </c>
      <c r="C513">
        <v>2082</v>
      </c>
      <c r="D513">
        <v>5</v>
      </c>
      <c r="E513">
        <v>2</v>
      </c>
      <c r="F513" t="s">
        <v>65</v>
      </c>
      <c r="G513">
        <v>144770</v>
      </c>
      <c r="H513">
        <v>60</v>
      </c>
      <c r="I513">
        <v>120</v>
      </c>
      <c r="J513">
        <v>86.11</v>
      </c>
      <c r="K513" t="s">
        <v>58</v>
      </c>
      <c r="L513" t="s">
        <v>58</v>
      </c>
      <c r="M513" t="b">
        <v>0</v>
      </c>
      <c r="N513">
        <v>12466144.699999999</v>
      </c>
      <c r="O513" t="b">
        <f t="shared" si="14"/>
        <v>1</v>
      </c>
      <c r="P513">
        <v>144770</v>
      </c>
      <c r="Q513">
        <f t="shared" si="15"/>
        <v>0</v>
      </c>
      <c r="R513">
        <v>0.99658078331145905</v>
      </c>
      <c r="S513">
        <v>10</v>
      </c>
      <c r="T513" t="b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144275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495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</row>
    <row r="514" spans="1:56" x14ac:dyDescent="0.3">
      <c r="A514" t="s">
        <v>129</v>
      </c>
      <c r="B514" t="s">
        <v>64</v>
      </c>
      <c r="C514">
        <v>2082</v>
      </c>
      <c r="D514">
        <v>6</v>
      </c>
      <c r="E514">
        <v>3</v>
      </c>
      <c r="F514" t="s">
        <v>66</v>
      </c>
      <c r="G514">
        <v>118905</v>
      </c>
      <c r="H514">
        <v>80</v>
      </c>
      <c r="I514">
        <v>100</v>
      </c>
      <c r="J514">
        <v>90</v>
      </c>
      <c r="K514" t="s">
        <v>58</v>
      </c>
      <c r="L514" t="s">
        <v>58</v>
      </c>
      <c r="M514" t="b">
        <v>0</v>
      </c>
      <c r="N514">
        <v>10701450</v>
      </c>
      <c r="O514" t="b">
        <f t="shared" ref="O514:O577" si="16">IF(P514=G514,TRUE,FALSE)</f>
        <v>1</v>
      </c>
      <c r="P514">
        <v>118905</v>
      </c>
      <c r="Q514">
        <f t="shared" si="15"/>
        <v>0</v>
      </c>
      <c r="R514">
        <v>0.97203649972667205</v>
      </c>
      <c r="S514">
        <v>10</v>
      </c>
      <c r="T514" t="b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115580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1905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540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880</v>
      </c>
    </row>
    <row r="515" spans="1:56" x14ac:dyDescent="0.3">
      <c r="A515" t="s">
        <v>129</v>
      </c>
      <c r="B515" t="s">
        <v>64</v>
      </c>
      <c r="C515">
        <v>2082</v>
      </c>
      <c r="D515">
        <v>7</v>
      </c>
      <c r="E515">
        <v>4</v>
      </c>
      <c r="F515" t="s">
        <v>67</v>
      </c>
      <c r="G515">
        <v>93728</v>
      </c>
      <c r="H515">
        <v>80</v>
      </c>
      <c r="I515">
        <v>100</v>
      </c>
      <c r="J515">
        <v>90</v>
      </c>
      <c r="K515" t="s">
        <v>58</v>
      </c>
      <c r="L515" t="s">
        <v>58</v>
      </c>
      <c r="M515" t="b">
        <v>0</v>
      </c>
      <c r="N515">
        <v>8435520</v>
      </c>
      <c r="O515" t="b">
        <f t="shared" si="16"/>
        <v>1</v>
      </c>
      <c r="P515">
        <v>93728</v>
      </c>
      <c r="Q515">
        <f t="shared" si="15"/>
        <v>0</v>
      </c>
      <c r="R515">
        <v>0.92811113007852497</v>
      </c>
      <c r="S515">
        <v>10</v>
      </c>
      <c r="T515" t="b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180</v>
      </c>
      <c r="AD515">
        <v>0</v>
      </c>
      <c r="AE515">
        <v>86990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2365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3283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910</v>
      </c>
    </row>
    <row r="516" spans="1:56" x14ac:dyDescent="0.3">
      <c r="A516" t="s">
        <v>129</v>
      </c>
      <c r="B516" t="s">
        <v>64</v>
      </c>
      <c r="C516">
        <v>2082</v>
      </c>
      <c r="D516">
        <v>8</v>
      </c>
      <c r="E516">
        <v>5</v>
      </c>
      <c r="F516" t="s">
        <v>68</v>
      </c>
      <c r="G516">
        <v>104344</v>
      </c>
      <c r="H516">
        <v>0</v>
      </c>
      <c r="I516">
        <v>0</v>
      </c>
      <c r="J516">
        <v>95</v>
      </c>
      <c r="K516" t="s">
        <v>58</v>
      </c>
      <c r="L516" t="s">
        <v>58</v>
      </c>
      <c r="M516" t="b">
        <v>0</v>
      </c>
      <c r="N516">
        <v>9912680</v>
      </c>
      <c r="O516" t="b">
        <f t="shared" si="16"/>
        <v>1</v>
      </c>
      <c r="P516">
        <v>104344</v>
      </c>
      <c r="Q516">
        <f t="shared" si="15"/>
        <v>0</v>
      </c>
      <c r="R516">
        <v>0.85874607068925801</v>
      </c>
      <c r="S516">
        <v>10</v>
      </c>
      <c r="T516" t="b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210</v>
      </c>
      <c r="AD516">
        <v>0</v>
      </c>
      <c r="AE516">
        <v>89605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10815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3034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680</v>
      </c>
    </row>
    <row r="517" spans="1:56" x14ac:dyDescent="0.3">
      <c r="A517" t="s">
        <v>129</v>
      </c>
      <c r="B517" t="s">
        <v>64</v>
      </c>
      <c r="C517">
        <v>2082</v>
      </c>
      <c r="D517">
        <v>9</v>
      </c>
      <c r="E517">
        <v>6</v>
      </c>
      <c r="F517" t="s">
        <v>57</v>
      </c>
      <c r="G517">
        <v>94840</v>
      </c>
      <c r="H517">
        <v>0</v>
      </c>
      <c r="I517">
        <v>0</v>
      </c>
      <c r="J517">
        <v>95.66</v>
      </c>
      <c r="K517" t="s">
        <v>58</v>
      </c>
      <c r="L517" t="s">
        <v>58</v>
      </c>
      <c r="M517" t="b">
        <v>0</v>
      </c>
      <c r="N517">
        <v>9072394.4000000004</v>
      </c>
      <c r="O517" t="b">
        <f t="shared" si="16"/>
        <v>1</v>
      </c>
      <c r="P517">
        <v>94840</v>
      </c>
      <c r="Q517">
        <f t="shared" si="15"/>
        <v>0</v>
      </c>
      <c r="R517">
        <v>0.94506537326022699</v>
      </c>
      <c r="S517">
        <v>10</v>
      </c>
      <c r="T517" t="b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89630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2260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2040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910</v>
      </c>
    </row>
    <row r="518" spans="1:56" x14ac:dyDescent="0.3">
      <c r="A518" t="s">
        <v>129</v>
      </c>
      <c r="B518" t="s">
        <v>64</v>
      </c>
      <c r="C518">
        <v>2082</v>
      </c>
      <c r="D518">
        <v>10</v>
      </c>
      <c r="E518">
        <v>7</v>
      </c>
      <c r="F518" t="s">
        <v>59</v>
      </c>
      <c r="G518">
        <v>125853</v>
      </c>
      <c r="H518">
        <v>0</v>
      </c>
      <c r="I518">
        <v>0</v>
      </c>
      <c r="J518">
        <v>105</v>
      </c>
      <c r="K518" t="s">
        <v>58</v>
      </c>
      <c r="L518" t="s">
        <v>58</v>
      </c>
      <c r="M518" t="b">
        <v>0</v>
      </c>
      <c r="N518">
        <v>13214565</v>
      </c>
      <c r="O518" t="b">
        <f t="shared" si="16"/>
        <v>1</v>
      </c>
      <c r="P518">
        <v>125853</v>
      </c>
      <c r="Q518">
        <f t="shared" si="15"/>
        <v>0</v>
      </c>
      <c r="R518">
        <v>0.96914654398385403</v>
      </c>
      <c r="S518">
        <v>10</v>
      </c>
      <c r="T518" t="b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121970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1403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2480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</row>
    <row r="519" spans="1:56" x14ac:dyDescent="0.3">
      <c r="A519" t="s">
        <v>129</v>
      </c>
      <c r="B519" t="s">
        <v>64</v>
      </c>
      <c r="C519">
        <v>2082</v>
      </c>
      <c r="D519">
        <v>11</v>
      </c>
      <c r="E519">
        <v>8</v>
      </c>
      <c r="F519" t="s">
        <v>60</v>
      </c>
      <c r="G519">
        <v>143625</v>
      </c>
      <c r="H519">
        <v>0</v>
      </c>
      <c r="I519">
        <v>0</v>
      </c>
      <c r="J519">
        <v>98.99</v>
      </c>
      <c r="K519" t="s">
        <v>58</v>
      </c>
      <c r="L519" t="s">
        <v>58</v>
      </c>
      <c r="M519" t="b">
        <v>0</v>
      </c>
      <c r="N519">
        <v>14217438.75</v>
      </c>
      <c r="O519" t="b">
        <f t="shared" si="16"/>
        <v>1</v>
      </c>
      <c r="P519">
        <v>143625</v>
      </c>
      <c r="Q519">
        <f t="shared" si="15"/>
        <v>0</v>
      </c>
      <c r="R519">
        <v>0.98558746736292402</v>
      </c>
      <c r="S519">
        <v>10</v>
      </c>
      <c r="T519" t="b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141555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2070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</row>
    <row r="520" spans="1:56" x14ac:dyDescent="0.3">
      <c r="A520" t="s">
        <v>129</v>
      </c>
      <c r="B520" t="s">
        <v>64</v>
      </c>
      <c r="C520">
        <v>2082</v>
      </c>
      <c r="D520">
        <v>12</v>
      </c>
      <c r="E520">
        <v>9</v>
      </c>
      <c r="F520" t="s">
        <v>61</v>
      </c>
      <c r="G520">
        <v>240240</v>
      </c>
      <c r="H520">
        <v>0</v>
      </c>
      <c r="I520">
        <v>0</v>
      </c>
      <c r="J520">
        <v>95</v>
      </c>
      <c r="K520" t="s">
        <v>58</v>
      </c>
      <c r="L520" t="s">
        <v>58</v>
      </c>
      <c r="M520" t="b">
        <v>0</v>
      </c>
      <c r="N520">
        <v>22822800</v>
      </c>
      <c r="O520" t="b">
        <f t="shared" si="16"/>
        <v>1</v>
      </c>
      <c r="P520">
        <v>240240</v>
      </c>
      <c r="Q520">
        <f t="shared" si="15"/>
        <v>0</v>
      </c>
      <c r="R520">
        <v>0.98917748917748904</v>
      </c>
      <c r="S520">
        <v>10</v>
      </c>
      <c r="T520" t="b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237640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2340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210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50</v>
      </c>
    </row>
    <row r="521" spans="1:56" x14ac:dyDescent="0.3">
      <c r="A521" t="s">
        <v>129</v>
      </c>
      <c r="B521" t="s">
        <v>64</v>
      </c>
      <c r="C521">
        <v>2083</v>
      </c>
      <c r="D521">
        <v>1</v>
      </c>
      <c r="E521">
        <v>10</v>
      </c>
      <c r="F521" t="s">
        <v>62</v>
      </c>
      <c r="G521">
        <v>202235</v>
      </c>
      <c r="H521">
        <v>100</v>
      </c>
      <c r="I521">
        <v>100</v>
      </c>
      <c r="J521">
        <v>100</v>
      </c>
      <c r="K521" t="s">
        <v>58</v>
      </c>
      <c r="L521" t="s">
        <v>58</v>
      </c>
      <c r="M521" t="b">
        <v>0</v>
      </c>
      <c r="N521">
        <v>20223500</v>
      </c>
      <c r="O521" t="b">
        <f t="shared" si="16"/>
        <v>1</v>
      </c>
      <c r="P521">
        <v>202235</v>
      </c>
      <c r="Q521">
        <f t="shared" si="15"/>
        <v>0</v>
      </c>
      <c r="R521">
        <v>0.935841966029619</v>
      </c>
      <c r="S521">
        <v>10</v>
      </c>
      <c r="T521" t="b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189260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12975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</row>
    <row r="522" spans="1:56" x14ac:dyDescent="0.3">
      <c r="A522" t="s">
        <v>130</v>
      </c>
      <c r="B522" t="s">
        <v>64</v>
      </c>
      <c r="C522">
        <v>2082</v>
      </c>
      <c r="D522">
        <v>9</v>
      </c>
      <c r="E522">
        <v>6</v>
      </c>
      <c r="F522" t="s">
        <v>57</v>
      </c>
      <c r="G522">
        <v>4530</v>
      </c>
      <c r="H522">
        <v>0</v>
      </c>
      <c r="I522">
        <v>0</v>
      </c>
      <c r="J522">
        <v>210</v>
      </c>
      <c r="K522" t="s">
        <v>58</v>
      </c>
      <c r="L522" t="s">
        <v>58</v>
      </c>
      <c r="M522" t="b">
        <v>0</v>
      </c>
      <c r="N522">
        <v>951300</v>
      </c>
      <c r="O522" t="b">
        <f t="shared" si="16"/>
        <v>1</v>
      </c>
      <c r="P522">
        <v>4530</v>
      </c>
      <c r="Q522">
        <f t="shared" si="15"/>
        <v>0</v>
      </c>
      <c r="R522">
        <v>1</v>
      </c>
      <c r="S522">
        <v>2</v>
      </c>
      <c r="T522" t="b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4530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</row>
    <row r="523" spans="1:56" x14ac:dyDescent="0.3">
      <c r="A523" t="s">
        <v>130</v>
      </c>
      <c r="B523" t="s">
        <v>64</v>
      </c>
      <c r="C523">
        <v>2082</v>
      </c>
      <c r="D523">
        <v>10</v>
      </c>
      <c r="E523">
        <v>7</v>
      </c>
      <c r="F523" t="s">
        <v>59</v>
      </c>
      <c r="G523">
        <v>4490</v>
      </c>
      <c r="H523">
        <v>0</v>
      </c>
      <c r="I523">
        <v>0</v>
      </c>
      <c r="J523">
        <v>220</v>
      </c>
      <c r="K523" t="s">
        <v>58</v>
      </c>
      <c r="L523" t="s">
        <v>58</v>
      </c>
      <c r="M523" t="b">
        <v>0</v>
      </c>
      <c r="N523">
        <v>987800</v>
      </c>
      <c r="O523" t="b">
        <f t="shared" si="16"/>
        <v>1</v>
      </c>
      <c r="P523">
        <v>4490</v>
      </c>
      <c r="Q523">
        <f t="shared" si="15"/>
        <v>0</v>
      </c>
      <c r="R523">
        <v>1</v>
      </c>
      <c r="S523">
        <v>2</v>
      </c>
      <c r="T523" t="b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4490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</row>
    <row r="524" spans="1:56" x14ac:dyDescent="0.3">
      <c r="A524" t="s">
        <v>131</v>
      </c>
      <c r="B524" t="s">
        <v>64</v>
      </c>
      <c r="C524">
        <v>2082</v>
      </c>
      <c r="D524">
        <v>4</v>
      </c>
      <c r="E524">
        <v>1</v>
      </c>
      <c r="F524" t="s">
        <v>70</v>
      </c>
      <c r="G524">
        <v>141105</v>
      </c>
      <c r="H524">
        <v>50</v>
      </c>
      <c r="I524">
        <v>60</v>
      </c>
      <c r="J524">
        <v>55</v>
      </c>
      <c r="K524" t="s">
        <v>58</v>
      </c>
      <c r="L524" t="s">
        <v>58</v>
      </c>
      <c r="M524" t="b">
        <v>0</v>
      </c>
      <c r="N524">
        <v>7760775</v>
      </c>
      <c r="O524" t="b">
        <f t="shared" si="16"/>
        <v>1</v>
      </c>
      <c r="P524">
        <v>141105</v>
      </c>
      <c r="Q524">
        <f t="shared" si="15"/>
        <v>0</v>
      </c>
      <c r="R524">
        <v>0.22667517097197101</v>
      </c>
      <c r="S524">
        <v>9</v>
      </c>
      <c r="T524" t="b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27935</v>
      </c>
      <c r="AA524">
        <v>0</v>
      </c>
      <c r="AB524">
        <v>28320</v>
      </c>
      <c r="AC524">
        <v>17365</v>
      </c>
      <c r="AD524">
        <v>5800</v>
      </c>
      <c r="AE524">
        <v>4050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31665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25970</v>
      </c>
    </row>
    <row r="525" spans="1:56" x14ac:dyDescent="0.3">
      <c r="A525" t="s">
        <v>131</v>
      </c>
      <c r="B525" t="s">
        <v>64</v>
      </c>
      <c r="C525">
        <v>2082</v>
      </c>
      <c r="D525">
        <v>5</v>
      </c>
      <c r="E525">
        <v>2</v>
      </c>
      <c r="F525" t="s">
        <v>65</v>
      </c>
      <c r="G525">
        <v>20670</v>
      </c>
      <c r="H525">
        <v>50</v>
      </c>
      <c r="I525">
        <v>60</v>
      </c>
      <c r="J525">
        <v>55</v>
      </c>
      <c r="K525" t="s">
        <v>58</v>
      </c>
      <c r="L525" t="s">
        <v>58</v>
      </c>
      <c r="M525" t="b">
        <v>0</v>
      </c>
      <c r="N525">
        <v>1136850</v>
      </c>
      <c r="O525" t="b">
        <f t="shared" si="16"/>
        <v>1</v>
      </c>
      <c r="P525">
        <v>20670</v>
      </c>
      <c r="Q525">
        <f t="shared" si="15"/>
        <v>0</v>
      </c>
      <c r="R525">
        <v>0.81422351233671897</v>
      </c>
      <c r="S525">
        <v>9</v>
      </c>
      <c r="T525" t="b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16830</v>
      </c>
      <c r="AA525">
        <v>0</v>
      </c>
      <c r="AB525">
        <v>0</v>
      </c>
      <c r="AC525">
        <v>580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3260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</row>
    <row r="526" spans="1:56" x14ac:dyDescent="0.3">
      <c r="A526" t="s">
        <v>131</v>
      </c>
      <c r="B526" t="s">
        <v>64</v>
      </c>
      <c r="C526">
        <v>2082</v>
      </c>
      <c r="D526">
        <v>6</v>
      </c>
      <c r="E526">
        <v>3</v>
      </c>
      <c r="F526" t="s">
        <v>66</v>
      </c>
      <c r="G526">
        <v>12624</v>
      </c>
      <c r="H526">
        <v>50</v>
      </c>
      <c r="I526">
        <v>60</v>
      </c>
      <c r="J526">
        <v>55</v>
      </c>
      <c r="K526" t="s">
        <v>58</v>
      </c>
      <c r="L526" t="s">
        <v>58</v>
      </c>
      <c r="M526" t="b">
        <v>0</v>
      </c>
      <c r="N526">
        <v>694320</v>
      </c>
      <c r="O526" t="b">
        <f t="shared" si="16"/>
        <v>1</v>
      </c>
      <c r="P526">
        <v>12624</v>
      </c>
      <c r="Q526">
        <f t="shared" ref="Q526:Q589" si="17">ABS(P526-G526)</f>
        <v>0</v>
      </c>
      <c r="R526">
        <v>1</v>
      </c>
      <c r="S526">
        <v>9</v>
      </c>
      <c r="T526" t="b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12624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</row>
    <row r="527" spans="1:56" x14ac:dyDescent="0.3">
      <c r="A527" t="s">
        <v>131</v>
      </c>
      <c r="B527" t="s">
        <v>64</v>
      </c>
      <c r="C527">
        <v>2082</v>
      </c>
      <c r="D527">
        <v>7</v>
      </c>
      <c r="E527">
        <v>4</v>
      </c>
      <c r="F527" t="s">
        <v>67</v>
      </c>
      <c r="G527">
        <v>15165</v>
      </c>
      <c r="H527">
        <v>200</v>
      </c>
      <c r="I527">
        <v>210</v>
      </c>
      <c r="J527">
        <v>205</v>
      </c>
      <c r="K527" t="s">
        <v>58</v>
      </c>
      <c r="L527" t="s">
        <v>58</v>
      </c>
      <c r="M527" t="b">
        <v>0</v>
      </c>
      <c r="N527">
        <v>3108825</v>
      </c>
      <c r="O527" t="b">
        <f t="shared" si="16"/>
        <v>1</v>
      </c>
      <c r="P527">
        <v>15165</v>
      </c>
      <c r="Q527">
        <f t="shared" si="17"/>
        <v>0</v>
      </c>
      <c r="R527">
        <v>1</v>
      </c>
      <c r="S527">
        <v>9</v>
      </c>
      <c r="T527" t="b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11805</v>
      </c>
      <c r="AA527">
        <v>0</v>
      </c>
      <c r="AB527">
        <v>0</v>
      </c>
      <c r="AC527">
        <v>0</v>
      </c>
      <c r="AD527">
        <v>0</v>
      </c>
      <c r="AE527">
        <v>3360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</row>
    <row r="528" spans="1:56" x14ac:dyDescent="0.3">
      <c r="A528" t="s">
        <v>131</v>
      </c>
      <c r="B528" t="s">
        <v>64</v>
      </c>
      <c r="C528">
        <v>2082</v>
      </c>
      <c r="D528">
        <v>9</v>
      </c>
      <c r="E528">
        <v>6</v>
      </c>
      <c r="F528" t="s">
        <v>57</v>
      </c>
      <c r="G528">
        <v>18090</v>
      </c>
      <c r="H528">
        <v>0</v>
      </c>
      <c r="I528">
        <v>0</v>
      </c>
      <c r="J528">
        <v>205</v>
      </c>
      <c r="K528" t="s">
        <v>58</v>
      </c>
      <c r="L528" t="s">
        <v>58</v>
      </c>
      <c r="M528" t="b">
        <v>0</v>
      </c>
      <c r="N528">
        <v>3708450</v>
      </c>
      <c r="O528" t="b">
        <f t="shared" si="16"/>
        <v>1</v>
      </c>
      <c r="P528">
        <v>18090</v>
      </c>
      <c r="Q528">
        <f t="shared" si="17"/>
        <v>0</v>
      </c>
      <c r="R528">
        <v>1</v>
      </c>
      <c r="S528">
        <v>9</v>
      </c>
      <c r="T528" t="b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18090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</row>
    <row r="529" spans="1:56" x14ac:dyDescent="0.3">
      <c r="A529" t="s">
        <v>131</v>
      </c>
      <c r="B529" t="s">
        <v>64</v>
      </c>
      <c r="C529">
        <v>2082</v>
      </c>
      <c r="D529">
        <v>10</v>
      </c>
      <c r="E529">
        <v>7</v>
      </c>
      <c r="F529" t="s">
        <v>59</v>
      </c>
      <c r="G529">
        <v>14455</v>
      </c>
      <c r="H529">
        <v>200</v>
      </c>
      <c r="I529">
        <v>210</v>
      </c>
      <c r="J529">
        <v>205</v>
      </c>
      <c r="K529" t="s">
        <v>58</v>
      </c>
      <c r="L529" t="s">
        <v>58</v>
      </c>
      <c r="M529" t="b">
        <v>0</v>
      </c>
      <c r="N529">
        <v>2963275</v>
      </c>
      <c r="O529" t="b">
        <f t="shared" si="16"/>
        <v>1</v>
      </c>
      <c r="P529">
        <v>14455</v>
      </c>
      <c r="Q529">
        <f t="shared" si="17"/>
        <v>0</v>
      </c>
      <c r="R529">
        <v>1</v>
      </c>
      <c r="S529">
        <v>9</v>
      </c>
      <c r="T529" t="b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12375</v>
      </c>
      <c r="AA529">
        <v>0</v>
      </c>
      <c r="AB529">
        <v>0</v>
      </c>
      <c r="AC529">
        <v>0</v>
      </c>
      <c r="AD529">
        <v>0</v>
      </c>
      <c r="AE529">
        <v>2080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</row>
    <row r="530" spans="1:56" x14ac:dyDescent="0.3">
      <c r="A530" t="s">
        <v>131</v>
      </c>
      <c r="B530" t="s">
        <v>64</v>
      </c>
      <c r="C530">
        <v>2082</v>
      </c>
      <c r="D530">
        <v>11</v>
      </c>
      <c r="E530">
        <v>8</v>
      </c>
      <c r="F530" t="s">
        <v>60</v>
      </c>
      <c r="G530">
        <v>10640</v>
      </c>
      <c r="H530">
        <v>200</v>
      </c>
      <c r="I530">
        <v>210</v>
      </c>
      <c r="J530">
        <v>205</v>
      </c>
      <c r="K530" t="s">
        <v>58</v>
      </c>
      <c r="L530" t="s">
        <v>58</v>
      </c>
      <c r="M530" t="b">
        <v>0</v>
      </c>
      <c r="N530">
        <v>2181200</v>
      </c>
      <c r="O530" t="b">
        <f t="shared" si="16"/>
        <v>1</v>
      </c>
      <c r="P530">
        <v>10640</v>
      </c>
      <c r="Q530">
        <f t="shared" si="17"/>
        <v>0</v>
      </c>
      <c r="R530">
        <v>1</v>
      </c>
      <c r="S530">
        <v>9</v>
      </c>
      <c r="T530" t="b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8560</v>
      </c>
      <c r="AA530">
        <v>0</v>
      </c>
      <c r="AB530">
        <v>0</v>
      </c>
      <c r="AC530">
        <v>0</v>
      </c>
      <c r="AD530">
        <v>0</v>
      </c>
      <c r="AE530">
        <v>2080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</row>
    <row r="531" spans="1:56" x14ac:dyDescent="0.3">
      <c r="A531" t="s">
        <v>131</v>
      </c>
      <c r="B531" t="s">
        <v>64</v>
      </c>
      <c r="C531">
        <v>2082</v>
      </c>
      <c r="D531">
        <v>12</v>
      </c>
      <c r="E531">
        <v>9</v>
      </c>
      <c r="F531" t="s">
        <v>61</v>
      </c>
      <c r="G531">
        <v>30770</v>
      </c>
      <c r="H531">
        <v>200</v>
      </c>
      <c r="I531">
        <v>210</v>
      </c>
      <c r="J531">
        <v>205</v>
      </c>
      <c r="K531" t="s">
        <v>58</v>
      </c>
      <c r="L531" t="s">
        <v>58</v>
      </c>
      <c r="M531" t="b">
        <v>0</v>
      </c>
      <c r="N531">
        <v>6307850</v>
      </c>
      <c r="O531" t="b">
        <f t="shared" si="16"/>
        <v>1</v>
      </c>
      <c r="P531">
        <v>30770</v>
      </c>
      <c r="Q531">
        <f t="shared" si="17"/>
        <v>0</v>
      </c>
      <c r="R531">
        <v>1</v>
      </c>
      <c r="S531">
        <v>9</v>
      </c>
      <c r="T531" t="b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30230</v>
      </c>
      <c r="AA531">
        <v>0</v>
      </c>
      <c r="AB531">
        <v>0</v>
      </c>
      <c r="AC531">
        <v>0</v>
      </c>
      <c r="AD531">
        <v>0</v>
      </c>
      <c r="AE531">
        <v>540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</row>
    <row r="532" spans="1:56" x14ac:dyDescent="0.3">
      <c r="A532" t="s">
        <v>131</v>
      </c>
      <c r="B532" t="s">
        <v>64</v>
      </c>
      <c r="C532">
        <v>2083</v>
      </c>
      <c r="D532">
        <v>1</v>
      </c>
      <c r="E532">
        <v>10</v>
      </c>
      <c r="F532" t="s">
        <v>62</v>
      </c>
      <c r="G532">
        <v>25520</v>
      </c>
      <c r="H532">
        <v>200</v>
      </c>
      <c r="I532">
        <v>210</v>
      </c>
      <c r="J532">
        <v>205</v>
      </c>
      <c r="K532" t="s">
        <v>58</v>
      </c>
      <c r="L532" t="s">
        <v>58</v>
      </c>
      <c r="M532" t="b">
        <v>0</v>
      </c>
      <c r="N532">
        <v>5231600</v>
      </c>
      <c r="O532" t="b">
        <f t="shared" si="16"/>
        <v>1</v>
      </c>
      <c r="P532">
        <v>25520</v>
      </c>
      <c r="Q532">
        <f t="shared" si="17"/>
        <v>0</v>
      </c>
      <c r="R532">
        <v>1</v>
      </c>
      <c r="S532">
        <v>9</v>
      </c>
      <c r="T532" t="b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23070</v>
      </c>
      <c r="AA532">
        <v>0</v>
      </c>
      <c r="AB532">
        <v>0</v>
      </c>
      <c r="AC532">
        <v>0</v>
      </c>
      <c r="AD532">
        <v>0</v>
      </c>
      <c r="AE532">
        <v>2450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</row>
    <row r="533" spans="1:56" x14ac:dyDescent="0.3">
      <c r="A533" t="s">
        <v>132</v>
      </c>
      <c r="B533" t="s">
        <v>64</v>
      </c>
      <c r="C533">
        <v>2082</v>
      </c>
      <c r="D533">
        <v>4</v>
      </c>
      <c r="E533">
        <v>1</v>
      </c>
      <c r="F533" t="s">
        <v>70</v>
      </c>
      <c r="G533">
        <v>0</v>
      </c>
      <c r="H533">
        <v>40</v>
      </c>
      <c r="I533">
        <v>210</v>
      </c>
      <c r="J533">
        <v>138.02000000000001</v>
      </c>
      <c r="K533" t="s">
        <v>58</v>
      </c>
      <c r="L533" t="s">
        <v>58</v>
      </c>
      <c r="M533" t="b">
        <v>0</v>
      </c>
      <c r="N533">
        <v>0</v>
      </c>
      <c r="O533" t="b">
        <f t="shared" si="16"/>
        <v>1</v>
      </c>
      <c r="P533">
        <v>0</v>
      </c>
      <c r="Q533">
        <f t="shared" si="17"/>
        <v>0</v>
      </c>
      <c r="S533">
        <v>3</v>
      </c>
      <c r="T533" t="b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</row>
    <row r="534" spans="1:56" x14ac:dyDescent="0.3">
      <c r="A534" t="s">
        <v>132</v>
      </c>
      <c r="B534" t="s">
        <v>64</v>
      </c>
      <c r="C534">
        <v>2082</v>
      </c>
      <c r="D534">
        <v>6</v>
      </c>
      <c r="E534">
        <v>3</v>
      </c>
      <c r="F534" t="s">
        <v>66</v>
      </c>
      <c r="G534">
        <v>0</v>
      </c>
      <c r="H534">
        <v>200</v>
      </c>
      <c r="I534">
        <v>210</v>
      </c>
      <c r="J534">
        <v>205</v>
      </c>
      <c r="K534" t="s">
        <v>58</v>
      </c>
      <c r="L534" t="s">
        <v>58</v>
      </c>
      <c r="M534" t="b">
        <v>0</v>
      </c>
      <c r="N534">
        <v>0</v>
      </c>
      <c r="O534" t="b">
        <f t="shared" si="16"/>
        <v>1</v>
      </c>
      <c r="P534">
        <v>0</v>
      </c>
      <c r="Q534">
        <f t="shared" si="17"/>
        <v>0</v>
      </c>
      <c r="S534">
        <v>3</v>
      </c>
      <c r="T534" t="b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</row>
    <row r="535" spans="1:56" x14ac:dyDescent="0.3">
      <c r="A535" t="s">
        <v>132</v>
      </c>
      <c r="B535" t="s">
        <v>64</v>
      </c>
      <c r="C535">
        <v>2082</v>
      </c>
      <c r="D535">
        <v>8</v>
      </c>
      <c r="E535">
        <v>5</v>
      </c>
      <c r="F535" t="s">
        <v>68</v>
      </c>
      <c r="G535">
        <v>12600</v>
      </c>
      <c r="H535">
        <v>200</v>
      </c>
      <c r="I535">
        <v>210</v>
      </c>
      <c r="J535">
        <v>205</v>
      </c>
      <c r="K535" t="s">
        <v>58</v>
      </c>
      <c r="L535" t="s">
        <v>58</v>
      </c>
      <c r="M535" t="b">
        <v>0</v>
      </c>
      <c r="N535">
        <v>2583000</v>
      </c>
      <c r="O535" t="b">
        <f t="shared" si="16"/>
        <v>1</v>
      </c>
      <c r="P535">
        <v>12600</v>
      </c>
      <c r="Q535">
        <f t="shared" si="17"/>
        <v>0</v>
      </c>
      <c r="R535">
        <v>1</v>
      </c>
      <c r="S535">
        <v>3</v>
      </c>
      <c r="T535" t="b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12600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</row>
    <row r="536" spans="1:56" x14ac:dyDescent="0.3">
      <c r="A536" t="s">
        <v>133</v>
      </c>
      <c r="B536" t="s">
        <v>64</v>
      </c>
      <c r="C536">
        <v>2082</v>
      </c>
      <c r="D536">
        <v>4</v>
      </c>
      <c r="E536">
        <v>1</v>
      </c>
      <c r="F536" t="s">
        <v>70</v>
      </c>
      <c r="G536">
        <v>156655</v>
      </c>
      <c r="H536">
        <v>130</v>
      </c>
      <c r="I536">
        <v>150</v>
      </c>
      <c r="J536">
        <v>140</v>
      </c>
      <c r="K536" t="s">
        <v>58</v>
      </c>
      <c r="L536" t="s">
        <v>58</v>
      </c>
      <c r="M536" t="b">
        <v>0</v>
      </c>
      <c r="N536">
        <v>21931700</v>
      </c>
      <c r="O536" t="b">
        <f t="shared" si="16"/>
        <v>1</v>
      </c>
      <c r="P536">
        <v>156655</v>
      </c>
      <c r="Q536">
        <f t="shared" si="17"/>
        <v>0</v>
      </c>
      <c r="R536">
        <v>1</v>
      </c>
      <c r="S536">
        <v>10</v>
      </c>
      <c r="T536" t="b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156655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</row>
    <row r="537" spans="1:56" x14ac:dyDescent="0.3">
      <c r="A537" t="s">
        <v>133</v>
      </c>
      <c r="B537" t="s">
        <v>64</v>
      </c>
      <c r="C537">
        <v>2082</v>
      </c>
      <c r="D537">
        <v>5</v>
      </c>
      <c r="E537">
        <v>2</v>
      </c>
      <c r="F537" t="s">
        <v>65</v>
      </c>
      <c r="G537">
        <v>79175</v>
      </c>
      <c r="H537">
        <v>130</v>
      </c>
      <c r="I537">
        <v>200</v>
      </c>
      <c r="J537">
        <v>165.28</v>
      </c>
      <c r="K537" t="s">
        <v>58</v>
      </c>
      <c r="L537" t="s">
        <v>58</v>
      </c>
      <c r="M537" t="b">
        <v>0</v>
      </c>
      <c r="N537">
        <v>13086044</v>
      </c>
      <c r="O537" t="b">
        <f t="shared" si="16"/>
        <v>1</v>
      </c>
      <c r="P537">
        <v>79175</v>
      </c>
      <c r="Q537">
        <f t="shared" si="17"/>
        <v>0</v>
      </c>
      <c r="R537">
        <v>1</v>
      </c>
      <c r="S537">
        <v>10</v>
      </c>
      <c r="T537" t="b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79175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</row>
    <row r="538" spans="1:56" x14ac:dyDescent="0.3">
      <c r="A538" t="s">
        <v>133</v>
      </c>
      <c r="B538" t="s">
        <v>64</v>
      </c>
      <c r="C538">
        <v>2082</v>
      </c>
      <c r="D538">
        <v>6</v>
      </c>
      <c r="E538">
        <v>3</v>
      </c>
      <c r="F538" t="s">
        <v>66</v>
      </c>
      <c r="G538">
        <v>60295</v>
      </c>
      <c r="H538">
        <v>150</v>
      </c>
      <c r="I538">
        <v>180</v>
      </c>
      <c r="J538">
        <v>165</v>
      </c>
      <c r="K538" t="s">
        <v>58</v>
      </c>
      <c r="L538" t="s">
        <v>58</v>
      </c>
      <c r="M538" t="b">
        <v>0</v>
      </c>
      <c r="N538">
        <v>9948675</v>
      </c>
      <c r="O538" t="b">
        <f t="shared" si="16"/>
        <v>1</v>
      </c>
      <c r="P538">
        <v>60295</v>
      </c>
      <c r="Q538">
        <f t="shared" si="17"/>
        <v>0</v>
      </c>
      <c r="R538">
        <v>1</v>
      </c>
      <c r="S538">
        <v>10</v>
      </c>
      <c r="T538" t="b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60295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</row>
    <row r="539" spans="1:56" x14ac:dyDescent="0.3">
      <c r="A539" t="s">
        <v>133</v>
      </c>
      <c r="B539" t="s">
        <v>64</v>
      </c>
      <c r="C539">
        <v>2082</v>
      </c>
      <c r="D539">
        <v>7</v>
      </c>
      <c r="E539">
        <v>4</v>
      </c>
      <c r="F539" t="s">
        <v>67</v>
      </c>
      <c r="G539">
        <v>28765</v>
      </c>
      <c r="H539">
        <v>150</v>
      </c>
      <c r="I539">
        <v>180</v>
      </c>
      <c r="J539">
        <v>165</v>
      </c>
      <c r="K539" t="s">
        <v>58</v>
      </c>
      <c r="L539" t="s">
        <v>58</v>
      </c>
      <c r="M539" t="b">
        <v>0</v>
      </c>
      <c r="N539">
        <v>4746225</v>
      </c>
      <c r="O539" t="b">
        <f t="shared" si="16"/>
        <v>1</v>
      </c>
      <c r="P539">
        <v>28765</v>
      </c>
      <c r="Q539">
        <f t="shared" si="17"/>
        <v>0</v>
      </c>
      <c r="R539">
        <v>1</v>
      </c>
      <c r="S539">
        <v>10</v>
      </c>
      <c r="T539" t="b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28765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</row>
    <row r="540" spans="1:56" x14ac:dyDescent="0.3">
      <c r="A540" t="s">
        <v>133</v>
      </c>
      <c r="B540" t="s">
        <v>64</v>
      </c>
      <c r="C540">
        <v>2082</v>
      </c>
      <c r="D540">
        <v>8</v>
      </c>
      <c r="E540">
        <v>5</v>
      </c>
      <c r="F540" t="s">
        <v>68</v>
      </c>
      <c r="G540">
        <v>46540</v>
      </c>
      <c r="H540">
        <v>150</v>
      </c>
      <c r="I540">
        <v>180</v>
      </c>
      <c r="J540">
        <v>165</v>
      </c>
      <c r="K540" t="s">
        <v>58</v>
      </c>
      <c r="L540" t="s">
        <v>58</v>
      </c>
      <c r="M540" t="b">
        <v>0</v>
      </c>
      <c r="N540">
        <v>7679100</v>
      </c>
      <c r="O540" t="b">
        <f t="shared" si="16"/>
        <v>1</v>
      </c>
      <c r="P540">
        <v>46540</v>
      </c>
      <c r="Q540">
        <f t="shared" si="17"/>
        <v>0</v>
      </c>
      <c r="R540">
        <v>1</v>
      </c>
      <c r="S540">
        <v>10</v>
      </c>
      <c r="T540" t="b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46540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</row>
    <row r="541" spans="1:56" x14ac:dyDescent="0.3">
      <c r="A541" t="s">
        <v>133</v>
      </c>
      <c r="B541" t="s">
        <v>64</v>
      </c>
      <c r="C541">
        <v>2082</v>
      </c>
      <c r="D541">
        <v>9</v>
      </c>
      <c r="E541">
        <v>6</v>
      </c>
      <c r="F541" t="s">
        <v>57</v>
      </c>
      <c r="G541">
        <v>74115</v>
      </c>
      <c r="H541">
        <v>150</v>
      </c>
      <c r="I541">
        <v>180</v>
      </c>
      <c r="J541">
        <v>165</v>
      </c>
      <c r="K541" t="s">
        <v>58</v>
      </c>
      <c r="L541" t="s">
        <v>58</v>
      </c>
      <c r="M541" t="b">
        <v>0</v>
      </c>
      <c r="N541">
        <v>12228975</v>
      </c>
      <c r="O541" t="b">
        <f t="shared" si="16"/>
        <v>1</v>
      </c>
      <c r="P541">
        <v>74115</v>
      </c>
      <c r="Q541">
        <f t="shared" si="17"/>
        <v>0</v>
      </c>
      <c r="R541">
        <v>0.98488834918707402</v>
      </c>
      <c r="S541">
        <v>10</v>
      </c>
      <c r="T541" t="b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72995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1120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</row>
    <row r="542" spans="1:56" x14ac:dyDescent="0.3">
      <c r="A542" t="s">
        <v>133</v>
      </c>
      <c r="B542" t="s">
        <v>64</v>
      </c>
      <c r="C542">
        <v>2082</v>
      </c>
      <c r="D542">
        <v>10</v>
      </c>
      <c r="E542">
        <v>7</v>
      </c>
      <c r="F542" t="s">
        <v>59</v>
      </c>
      <c r="G542">
        <v>47180</v>
      </c>
      <c r="H542">
        <v>130</v>
      </c>
      <c r="I542">
        <v>180</v>
      </c>
      <c r="J542">
        <v>145</v>
      </c>
      <c r="K542" t="s">
        <v>58</v>
      </c>
      <c r="L542" t="s">
        <v>58</v>
      </c>
      <c r="M542" t="b">
        <v>0</v>
      </c>
      <c r="N542">
        <v>6841100</v>
      </c>
      <c r="O542" t="b">
        <f t="shared" si="16"/>
        <v>1</v>
      </c>
      <c r="P542">
        <v>47180</v>
      </c>
      <c r="Q542">
        <f t="shared" si="17"/>
        <v>0</v>
      </c>
      <c r="R542">
        <v>1</v>
      </c>
      <c r="S542">
        <v>10</v>
      </c>
      <c r="T542" t="b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47180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</row>
    <row r="543" spans="1:56" x14ac:dyDescent="0.3">
      <c r="A543" t="s">
        <v>133</v>
      </c>
      <c r="B543" t="s">
        <v>64</v>
      </c>
      <c r="C543">
        <v>2082</v>
      </c>
      <c r="D543">
        <v>11</v>
      </c>
      <c r="E543">
        <v>8</v>
      </c>
      <c r="F543" t="s">
        <v>60</v>
      </c>
      <c r="G543">
        <v>28640</v>
      </c>
      <c r="H543">
        <v>130</v>
      </c>
      <c r="I543">
        <v>150</v>
      </c>
      <c r="J543">
        <v>140</v>
      </c>
      <c r="K543" t="s">
        <v>58</v>
      </c>
      <c r="L543" t="s">
        <v>58</v>
      </c>
      <c r="M543" t="b">
        <v>0</v>
      </c>
      <c r="N543">
        <v>4009600</v>
      </c>
      <c r="O543" t="b">
        <f t="shared" si="16"/>
        <v>1</v>
      </c>
      <c r="P543">
        <v>28640</v>
      </c>
      <c r="Q543">
        <f t="shared" si="17"/>
        <v>0</v>
      </c>
      <c r="R543">
        <v>1</v>
      </c>
      <c r="S543">
        <v>10</v>
      </c>
      <c r="T543" t="b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28640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</row>
    <row r="544" spans="1:56" x14ac:dyDescent="0.3">
      <c r="A544" t="s">
        <v>133</v>
      </c>
      <c r="B544" t="s">
        <v>64</v>
      </c>
      <c r="C544">
        <v>2082</v>
      </c>
      <c r="D544">
        <v>12</v>
      </c>
      <c r="E544">
        <v>9</v>
      </c>
      <c r="F544" t="s">
        <v>61</v>
      </c>
      <c r="G544">
        <v>49600</v>
      </c>
      <c r="H544">
        <v>130</v>
      </c>
      <c r="I544">
        <v>200</v>
      </c>
      <c r="J544">
        <v>165.91</v>
      </c>
      <c r="K544" t="s">
        <v>58</v>
      </c>
      <c r="L544" t="s">
        <v>58</v>
      </c>
      <c r="M544" t="b">
        <v>0</v>
      </c>
      <c r="N544">
        <v>8229136</v>
      </c>
      <c r="O544" t="b">
        <f t="shared" si="16"/>
        <v>1</v>
      </c>
      <c r="P544">
        <v>49600</v>
      </c>
      <c r="Q544">
        <f t="shared" si="17"/>
        <v>0</v>
      </c>
      <c r="R544">
        <v>1</v>
      </c>
      <c r="S544">
        <v>10</v>
      </c>
      <c r="T544" t="b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49600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</row>
    <row r="545" spans="1:56" x14ac:dyDescent="0.3">
      <c r="A545" t="s">
        <v>133</v>
      </c>
      <c r="B545" t="s">
        <v>64</v>
      </c>
      <c r="C545">
        <v>2083</v>
      </c>
      <c r="D545">
        <v>1</v>
      </c>
      <c r="E545">
        <v>10</v>
      </c>
      <c r="F545" t="s">
        <v>62</v>
      </c>
      <c r="G545">
        <v>52180</v>
      </c>
      <c r="H545">
        <v>150</v>
      </c>
      <c r="I545">
        <v>250</v>
      </c>
      <c r="J545">
        <v>188.91</v>
      </c>
      <c r="K545" t="s">
        <v>58</v>
      </c>
      <c r="L545" t="s">
        <v>58</v>
      </c>
      <c r="M545" t="b">
        <v>0</v>
      </c>
      <c r="N545">
        <v>9857323.8000000007</v>
      </c>
      <c r="O545" t="b">
        <f t="shared" si="16"/>
        <v>1</v>
      </c>
      <c r="P545">
        <v>52180</v>
      </c>
      <c r="Q545">
        <f t="shared" si="17"/>
        <v>0</v>
      </c>
      <c r="R545">
        <v>1</v>
      </c>
      <c r="S545">
        <v>10</v>
      </c>
      <c r="T545" t="b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52180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</row>
    <row r="546" spans="1:56" x14ac:dyDescent="0.3">
      <c r="A546" t="s">
        <v>134</v>
      </c>
      <c r="B546" t="s">
        <v>56</v>
      </c>
      <c r="C546">
        <v>2082</v>
      </c>
      <c r="D546">
        <v>4</v>
      </c>
      <c r="E546">
        <v>1</v>
      </c>
      <c r="F546" t="s">
        <v>70</v>
      </c>
      <c r="G546">
        <v>41810</v>
      </c>
      <c r="H546">
        <v>50</v>
      </c>
      <c r="I546">
        <v>100</v>
      </c>
      <c r="J546">
        <v>70.599999999999994</v>
      </c>
      <c r="K546" t="s">
        <v>58</v>
      </c>
      <c r="L546" t="s">
        <v>58</v>
      </c>
      <c r="M546" t="b">
        <v>0</v>
      </c>
      <c r="N546">
        <v>2951785.9999999902</v>
      </c>
      <c r="O546" t="b">
        <f t="shared" si="16"/>
        <v>1</v>
      </c>
      <c r="P546">
        <v>41810</v>
      </c>
      <c r="Q546">
        <f t="shared" si="17"/>
        <v>0</v>
      </c>
      <c r="R546">
        <v>0.36414733317388098</v>
      </c>
      <c r="S546">
        <v>9</v>
      </c>
      <c r="T546" t="b">
        <v>0</v>
      </c>
      <c r="U546">
        <v>0</v>
      </c>
      <c r="V546">
        <v>0</v>
      </c>
      <c r="W546">
        <v>0</v>
      </c>
      <c r="X546">
        <v>0</v>
      </c>
      <c r="Y546">
        <v>5445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15225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21140</v>
      </c>
      <c r="BA546">
        <v>0</v>
      </c>
      <c r="BB546">
        <v>0</v>
      </c>
      <c r="BC546">
        <v>0</v>
      </c>
      <c r="BD546">
        <v>0</v>
      </c>
    </row>
    <row r="547" spans="1:56" x14ac:dyDescent="0.3">
      <c r="A547" t="s">
        <v>134</v>
      </c>
      <c r="B547" t="s">
        <v>56</v>
      </c>
      <c r="C547">
        <v>2082</v>
      </c>
      <c r="D547">
        <v>5</v>
      </c>
      <c r="E547">
        <v>2</v>
      </c>
      <c r="F547" t="s">
        <v>65</v>
      </c>
      <c r="G547">
        <v>26230</v>
      </c>
      <c r="H547">
        <v>50</v>
      </c>
      <c r="I547">
        <v>100</v>
      </c>
      <c r="J547">
        <v>76.040000000000006</v>
      </c>
      <c r="K547" t="s">
        <v>58</v>
      </c>
      <c r="L547" t="s">
        <v>58</v>
      </c>
      <c r="M547" t="b">
        <v>0</v>
      </c>
      <c r="N547">
        <v>1994529.2</v>
      </c>
      <c r="O547" t="b">
        <f t="shared" si="16"/>
        <v>1</v>
      </c>
      <c r="P547">
        <v>26230</v>
      </c>
      <c r="Q547">
        <f t="shared" si="17"/>
        <v>0</v>
      </c>
      <c r="R547">
        <v>0.40640487990850099</v>
      </c>
      <c r="S547">
        <v>9</v>
      </c>
      <c r="T547" t="b">
        <v>0</v>
      </c>
      <c r="U547">
        <v>0</v>
      </c>
      <c r="V547">
        <v>0</v>
      </c>
      <c r="W547">
        <v>0</v>
      </c>
      <c r="X547">
        <v>0</v>
      </c>
      <c r="Y547">
        <v>4905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10660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10665</v>
      </c>
      <c r="BA547">
        <v>0</v>
      </c>
      <c r="BB547">
        <v>0</v>
      </c>
      <c r="BC547">
        <v>0</v>
      </c>
      <c r="BD547">
        <v>0</v>
      </c>
    </row>
    <row r="548" spans="1:56" x14ac:dyDescent="0.3">
      <c r="A548" t="s">
        <v>134</v>
      </c>
      <c r="B548" t="s">
        <v>56</v>
      </c>
      <c r="C548">
        <v>2082</v>
      </c>
      <c r="D548">
        <v>6</v>
      </c>
      <c r="E548">
        <v>3</v>
      </c>
      <c r="F548" t="s">
        <v>66</v>
      </c>
      <c r="G548">
        <v>16035</v>
      </c>
      <c r="H548">
        <v>120</v>
      </c>
      <c r="I548">
        <v>200</v>
      </c>
      <c r="J548">
        <v>145.31</v>
      </c>
      <c r="K548" t="s">
        <v>58</v>
      </c>
      <c r="L548" t="s">
        <v>58</v>
      </c>
      <c r="M548" t="b">
        <v>0</v>
      </c>
      <c r="N548">
        <v>2330045.85</v>
      </c>
      <c r="O548" t="b">
        <f t="shared" si="16"/>
        <v>1</v>
      </c>
      <c r="P548">
        <v>16035</v>
      </c>
      <c r="Q548">
        <f t="shared" si="17"/>
        <v>0</v>
      </c>
      <c r="R548">
        <v>0.48550046772684702</v>
      </c>
      <c r="S548">
        <v>9</v>
      </c>
      <c r="T548" t="b">
        <v>0</v>
      </c>
      <c r="U548">
        <v>0</v>
      </c>
      <c r="V548">
        <v>0</v>
      </c>
      <c r="W548">
        <v>0</v>
      </c>
      <c r="X548">
        <v>0</v>
      </c>
      <c r="Y548">
        <v>8250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7785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</row>
    <row r="549" spans="1:56" x14ac:dyDescent="0.3">
      <c r="A549" t="s">
        <v>134</v>
      </c>
      <c r="B549" t="s">
        <v>56</v>
      </c>
      <c r="C549">
        <v>2082</v>
      </c>
      <c r="D549">
        <v>7</v>
      </c>
      <c r="E549">
        <v>4</v>
      </c>
      <c r="F549" t="s">
        <v>67</v>
      </c>
      <c r="G549">
        <v>34645</v>
      </c>
      <c r="H549">
        <v>100</v>
      </c>
      <c r="I549">
        <v>150</v>
      </c>
      <c r="J549">
        <v>135.53</v>
      </c>
      <c r="K549" t="s">
        <v>58</v>
      </c>
      <c r="L549" t="s">
        <v>58</v>
      </c>
      <c r="M549" t="b">
        <v>0</v>
      </c>
      <c r="N549">
        <v>4695436.8499999996</v>
      </c>
      <c r="O549" t="b">
        <f t="shared" si="16"/>
        <v>1</v>
      </c>
      <c r="P549">
        <v>34645</v>
      </c>
      <c r="Q549">
        <f t="shared" si="17"/>
        <v>0</v>
      </c>
      <c r="R549">
        <v>0.78034348390821096</v>
      </c>
      <c r="S549">
        <v>9</v>
      </c>
      <c r="T549" t="b">
        <v>0</v>
      </c>
      <c r="U549">
        <v>0</v>
      </c>
      <c r="V549">
        <v>0</v>
      </c>
      <c r="W549">
        <v>0</v>
      </c>
      <c r="X549">
        <v>0</v>
      </c>
      <c r="Y549">
        <v>7610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27035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</row>
    <row r="550" spans="1:56" x14ac:dyDescent="0.3">
      <c r="A550" t="s">
        <v>134</v>
      </c>
      <c r="B550" t="s">
        <v>56</v>
      </c>
      <c r="C550">
        <v>2082</v>
      </c>
      <c r="D550">
        <v>8</v>
      </c>
      <c r="E550">
        <v>5</v>
      </c>
      <c r="F550" t="s">
        <v>68</v>
      </c>
      <c r="G550">
        <v>38180</v>
      </c>
      <c r="H550">
        <v>100</v>
      </c>
      <c r="I550">
        <v>140</v>
      </c>
      <c r="J550">
        <v>112.11</v>
      </c>
      <c r="K550" t="s">
        <v>58</v>
      </c>
      <c r="L550" t="s">
        <v>58</v>
      </c>
      <c r="M550" t="b">
        <v>0</v>
      </c>
      <c r="N550">
        <v>4280359.8</v>
      </c>
      <c r="O550" t="b">
        <f t="shared" si="16"/>
        <v>1</v>
      </c>
      <c r="P550">
        <v>38180</v>
      </c>
      <c r="Q550">
        <f t="shared" si="17"/>
        <v>0</v>
      </c>
      <c r="R550">
        <v>0.82792037716081701</v>
      </c>
      <c r="S550">
        <v>9</v>
      </c>
      <c r="T550" t="b">
        <v>0</v>
      </c>
      <c r="U550">
        <v>0</v>
      </c>
      <c r="V550">
        <v>0</v>
      </c>
      <c r="W550">
        <v>0</v>
      </c>
      <c r="X550">
        <v>0</v>
      </c>
      <c r="Y550">
        <v>6570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31610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</row>
    <row r="551" spans="1:56" x14ac:dyDescent="0.3">
      <c r="A551" t="s">
        <v>134</v>
      </c>
      <c r="B551" t="s">
        <v>56</v>
      </c>
      <c r="C551">
        <v>2082</v>
      </c>
      <c r="D551">
        <v>9</v>
      </c>
      <c r="E551">
        <v>6</v>
      </c>
      <c r="F551" t="s">
        <v>57</v>
      </c>
      <c r="G551">
        <v>21805</v>
      </c>
      <c r="H551">
        <v>120</v>
      </c>
      <c r="I551">
        <v>140</v>
      </c>
      <c r="J551">
        <v>130</v>
      </c>
      <c r="K551" t="s">
        <v>58</v>
      </c>
      <c r="L551" t="s">
        <v>58</v>
      </c>
      <c r="M551" t="b">
        <v>0</v>
      </c>
      <c r="N551">
        <v>2834650</v>
      </c>
      <c r="O551" t="b">
        <f t="shared" si="16"/>
        <v>1</v>
      </c>
      <c r="P551">
        <v>21805</v>
      </c>
      <c r="Q551">
        <f t="shared" si="17"/>
        <v>0</v>
      </c>
      <c r="R551">
        <v>0.89910570969961001</v>
      </c>
      <c r="S551">
        <v>9</v>
      </c>
      <c r="T551" t="b">
        <v>0</v>
      </c>
      <c r="U551">
        <v>0</v>
      </c>
      <c r="V551">
        <v>0</v>
      </c>
      <c r="W551">
        <v>0</v>
      </c>
      <c r="X551">
        <v>0</v>
      </c>
      <c r="Y551">
        <v>2200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19605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</row>
    <row r="552" spans="1:56" x14ac:dyDescent="0.3">
      <c r="A552" t="s">
        <v>134</v>
      </c>
      <c r="B552" t="s">
        <v>56</v>
      </c>
      <c r="C552">
        <v>2082</v>
      </c>
      <c r="D552">
        <v>11</v>
      </c>
      <c r="E552">
        <v>8</v>
      </c>
      <c r="F552" t="s">
        <v>60</v>
      </c>
      <c r="G552">
        <v>2310</v>
      </c>
      <c r="H552">
        <v>0</v>
      </c>
      <c r="I552">
        <v>0</v>
      </c>
      <c r="J552">
        <v>215</v>
      </c>
      <c r="K552" t="s">
        <v>58</v>
      </c>
      <c r="L552" t="s">
        <v>58</v>
      </c>
      <c r="M552" t="b">
        <v>0</v>
      </c>
      <c r="N552">
        <v>496650</v>
      </c>
      <c r="O552" t="b">
        <f t="shared" si="16"/>
        <v>1</v>
      </c>
      <c r="P552">
        <v>2310</v>
      </c>
      <c r="Q552">
        <f t="shared" si="17"/>
        <v>0</v>
      </c>
      <c r="R552">
        <v>1</v>
      </c>
      <c r="S552">
        <v>9</v>
      </c>
      <c r="T552" t="b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2310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</row>
    <row r="553" spans="1:56" x14ac:dyDescent="0.3">
      <c r="A553" t="s">
        <v>134</v>
      </c>
      <c r="B553" t="s">
        <v>56</v>
      </c>
      <c r="C553">
        <v>2082</v>
      </c>
      <c r="D553">
        <v>12</v>
      </c>
      <c r="E553">
        <v>9</v>
      </c>
      <c r="F553" t="s">
        <v>61</v>
      </c>
      <c r="G553">
        <v>58770</v>
      </c>
      <c r="H553">
        <v>100</v>
      </c>
      <c r="I553">
        <v>200</v>
      </c>
      <c r="J553">
        <v>151.66999999999999</v>
      </c>
      <c r="K553" t="s">
        <v>58</v>
      </c>
      <c r="L553" t="s">
        <v>58</v>
      </c>
      <c r="M553" t="b">
        <v>0</v>
      </c>
      <c r="N553">
        <v>8913645.9000000004</v>
      </c>
      <c r="O553" t="b">
        <f t="shared" si="16"/>
        <v>1</v>
      </c>
      <c r="P553">
        <v>58770</v>
      </c>
      <c r="Q553">
        <f t="shared" si="17"/>
        <v>0</v>
      </c>
      <c r="R553">
        <v>0.71184277692700304</v>
      </c>
      <c r="S553">
        <v>9</v>
      </c>
      <c r="T553" t="b">
        <v>0</v>
      </c>
      <c r="U553">
        <v>0</v>
      </c>
      <c r="V553">
        <v>0</v>
      </c>
      <c r="W553">
        <v>0</v>
      </c>
      <c r="X553">
        <v>0</v>
      </c>
      <c r="Y553">
        <v>16935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41835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</row>
    <row r="554" spans="1:56" x14ac:dyDescent="0.3">
      <c r="A554" t="s">
        <v>134</v>
      </c>
      <c r="B554" t="s">
        <v>56</v>
      </c>
      <c r="C554">
        <v>2083</v>
      </c>
      <c r="D554">
        <v>1</v>
      </c>
      <c r="E554">
        <v>10</v>
      </c>
      <c r="F554" t="s">
        <v>62</v>
      </c>
      <c r="G554">
        <v>59958</v>
      </c>
      <c r="H554">
        <v>100</v>
      </c>
      <c r="I554">
        <v>150</v>
      </c>
      <c r="J554">
        <v>119.55</v>
      </c>
      <c r="K554" t="s">
        <v>58</v>
      </c>
      <c r="L554" t="s">
        <v>58</v>
      </c>
      <c r="M554" t="b">
        <v>0</v>
      </c>
      <c r="N554">
        <v>7167978.8999999901</v>
      </c>
      <c r="O554" t="b">
        <f t="shared" si="16"/>
        <v>1</v>
      </c>
      <c r="P554">
        <v>59958</v>
      </c>
      <c r="Q554">
        <f t="shared" si="17"/>
        <v>0</v>
      </c>
      <c r="R554">
        <v>0.62240234831048402</v>
      </c>
      <c r="S554">
        <v>9</v>
      </c>
      <c r="T554" t="b">
        <v>0</v>
      </c>
      <c r="U554">
        <v>0</v>
      </c>
      <c r="V554">
        <v>0</v>
      </c>
      <c r="W554">
        <v>0</v>
      </c>
      <c r="X554">
        <v>0</v>
      </c>
      <c r="Y554">
        <v>21500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37318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1140</v>
      </c>
      <c r="BA554">
        <v>0</v>
      </c>
      <c r="BB554">
        <v>0</v>
      </c>
      <c r="BC554">
        <v>0</v>
      </c>
      <c r="BD554">
        <v>0</v>
      </c>
    </row>
    <row r="555" spans="1:56" x14ac:dyDescent="0.3">
      <c r="A555" t="s">
        <v>135</v>
      </c>
      <c r="B555" t="s">
        <v>64</v>
      </c>
      <c r="C555">
        <v>2082</v>
      </c>
      <c r="D555">
        <v>4</v>
      </c>
      <c r="E555">
        <v>1</v>
      </c>
      <c r="F555" t="s">
        <v>70</v>
      </c>
      <c r="G555">
        <v>192885</v>
      </c>
      <c r="H555">
        <v>250</v>
      </c>
      <c r="I555">
        <v>350</v>
      </c>
      <c r="J555">
        <v>300</v>
      </c>
      <c r="K555" t="s">
        <v>58</v>
      </c>
      <c r="L555" t="s">
        <v>58</v>
      </c>
      <c r="M555" t="b">
        <v>0</v>
      </c>
      <c r="N555">
        <v>57865500</v>
      </c>
      <c r="O555" t="b">
        <f t="shared" si="16"/>
        <v>1</v>
      </c>
      <c r="P555">
        <v>192885</v>
      </c>
      <c r="Q555">
        <f t="shared" si="17"/>
        <v>0</v>
      </c>
      <c r="R555">
        <v>1</v>
      </c>
      <c r="S555">
        <v>10</v>
      </c>
      <c r="T555" t="b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540</v>
      </c>
      <c r="AA555">
        <v>0</v>
      </c>
      <c r="AB555">
        <v>0</v>
      </c>
      <c r="AC555">
        <v>0</v>
      </c>
      <c r="AD555">
        <v>0</v>
      </c>
      <c r="AE555">
        <v>192345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</row>
    <row r="556" spans="1:56" x14ac:dyDescent="0.3">
      <c r="A556" t="s">
        <v>135</v>
      </c>
      <c r="B556" t="s">
        <v>64</v>
      </c>
      <c r="C556">
        <v>2082</v>
      </c>
      <c r="D556">
        <v>5</v>
      </c>
      <c r="E556">
        <v>2</v>
      </c>
      <c r="F556" t="s">
        <v>65</v>
      </c>
      <c r="G556">
        <v>157665</v>
      </c>
      <c r="H556">
        <v>0</v>
      </c>
      <c r="I556">
        <v>0</v>
      </c>
      <c r="J556">
        <v>285.49</v>
      </c>
      <c r="K556" t="s">
        <v>58</v>
      </c>
      <c r="L556" t="s">
        <v>58</v>
      </c>
      <c r="M556" t="b">
        <v>0</v>
      </c>
      <c r="N556">
        <v>45011780.850000001</v>
      </c>
      <c r="O556" t="b">
        <f t="shared" si="16"/>
        <v>1</v>
      </c>
      <c r="P556">
        <v>157665</v>
      </c>
      <c r="Q556">
        <f t="shared" si="17"/>
        <v>0</v>
      </c>
      <c r="R556">
        <v>1</v>
      </c>
      <c r="S556">
        <v>10</v>
      </c>
      <c r="T556" t="b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157665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</row>
    <row r="557" spans="1:56" x14ac:dyDescent="0.3">
      <c r="A557" t="s">
        <v>135</v>
      </c>
      <c r="B557" t="s">
        <v>64</v>
      </c>
      <c r="C557">
        <v>2082</v>
      </c>
      <c r="D557">
        <v>6</v>
      </c>
      <c r="E557">
        <v>3</v>
      </c>
      <c r="F557" t="s">
        <v>66</v>
      </c>
      <c r="G557">
        <v>145970</v>
      </c>
      <c r="H557">
        <v>250</v>
      </c>
      <c r="I557">
        <v>350</v>
      </c>
      <c r="J557">
        <v>300</v>
      </c>
      <c r="K557" t="s">
        <v>58</v>
      </c>
      <c r="L557" t="s">
        <v>58</v>
      </c>
      <c r="M557" t="b">
        <v>0</v>
      </c>
      <c r="N557">
        <v>43791000</v>
      </c>
      <c r="O557" t="b">
        <f t="shared" si="16"/>
        <v>1</v>
      </c>
      <c r="P557">
        <v>145970</v>
      </c>
      <c r="Q557">
        <f t="shared" si="17"/>
        <v>0</v>
      </c>
      <c r="R557">
        <v>1</v>
      </c>
      <c r="S557">
        <v>10</v>
      </c>
      <c r="T557" t="b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145970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</row>
    <row r="558" spans="1:56" x14ac:dyDescent="0.3">
      <c r="A558" t="s">
        <v>135</v>
      </c>
      <c r="B558" t="s">
        <v>64</v>
      </c>
      <c r="C558">
        <v>2082</v>
      </c>
      <c r="D558">
        <v>7</v>
      </c>
      <c r="E558">
        <v>4</v>
      </c>
      <c r="F558" t="s">
        <v>67</v>
      </c>
      <c r="G558">
        <v>130400</v>
      </c>
      <c r="H558">
        <v>250</v>
      </c>
      <c r="I558">
        <v>350</v>
      </c>
      <c r="J558">
        <v>300</v>
      </c>
      <c r="K558" t="s">
        <v>58</v>
      </c>
      <c r="L558" t="s">
        <v>58</v>
      </c>
      <c r="M558" t="b">
        <v>0</v>
      </c>
      <c r="N558">
        <v>39120000</v>
      </c>
      <c r="O558" t="b">
        <f t="shared" si="16"/>
        <v>1</v>
      </c>
      <c r="P558">
        <v>130400</v>
      </c>
      <c r="Q558">
        <f t="shared" si="17"/>
        <v>0</v>
      </c>
      <c r="R558">
        <v>1</v>
      </c>
      <c r="S558">
        <v>10</v>
      </c>
      <c r="T558" t="b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130400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</row>
    <row r="559" spans="1:56" x14ac:dyDescent="0.3">
      <c r="A559" t="s">
        <v>135</v>
      </c>
      <c r="B559" t="s">
        <v>64</v>
      </c>
      <c r="C559">
        <v>2082</v>
      </c>
      <c r="D559">
        <v>8</v>
      </c>
      <c r="E559">
        <v>5</v>
      </c>
      <c r="F559" t="s">
        <v>68</v>
      </c>
      <c r="G559">
        <v>169530</v>
      </c>
      <c r="H559">
        <v>250</v>
      </c>
      <c r="I559">
        <v>350</v>
      </c>
      <c r="J559">
        <v>300</v>
      </c>
      <c r="K559" t="s">
        <v>58</v>
      </c>
      <c r="L559" t="s">
        <v>58</v>
      </c>
      <c r="M559" t="b">
        <v>0</v>
      </c>
      <c r="N559">
        <v>50859000</v>
      </c>
      <c r="O559" t="b">
        <f t="shared" si="16"/>
        <v>1</v>
      </c>
      <c r="P559">
        <v>169530</v>
      </c>
      <c r="Q559">
        <f t="shared" si="17"/>
        <v>0</v>
      </c>
      <c r="R559">
        <v>1</v>
      </c>
      <c r="S559">
        <v>10</v>
      </c>
      <c r="T559" t="b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169530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</row>
    <row r="560" spans="1:56" x14ac:dyDescent="0.3">
      <c r="A560" t="s">
        <v>135</v>
      </c>
      <c r="B560" t="s">
        <v>64</v>
      </c>
      <c r="C560">
        <v>2082</v>
      </c>
      <c r="D560">
        <v>9</v>
      </c>
      <c r="E560">
        <v>6</v>
      </c>
      <c r="F560" t="s">
        <v>57</v>
      </c>
      <c r="G560">
        <v>121565</v>
      </c>
      <c r="H560">
        <v>250</v>
      </c>
      <c r="I560">
        <v>350</v>
      </c>
      <c r="J560">
        <v>309.08999999999997</v>
      </c>
      <c r="K560" t="s">
        <v>58</v>
      </c>
      <c r="L560" t="s">
        <v>58</v>
      </c>
      <c r="M560" t="b">
        <v>0</v>
      </c>
      <c r="N560">
        <v>37574525.849999897</v>
      </c>
      <c r="O560" t="b">
        <f t="shared" si="16"/>
        <v>1</v>
      </c>
      <c r="P560">
        <v>121565</v>
      </c>
      <c r="Q560">
        <f t="shared" si="17"/>
        <v>0</v>
      </c>
      <c r="R560">
        <v>1</v>
      </c>
      <c r="S560">
        <v>10</v>
      </c>
      <c r="T560" t="b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121565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</row>
    <row r="561" spans="1:56" x14ac:dyDescent="0.3">
      <c r="A561" t="s">
        <v>135</v>
      </c>
      <c r="B561" t="s">
        <v>64</v>
      </c>
      <c r="C561">
        <v>2082</v>
      </c>
      <c r="D561">
        <v>10</v>
      </c>
      <c r="E561">
        <v>7</v>
      </c>
      <c r="F561" t="s">
        <v>59</v>
      </c>
      <c r="G561">
        <v>112495</v>
      </c>
      <c r="H561">
        <v>300</v>
      </c>
      <c r="I561">
        <v>350</v>
      </c>
      <c r="J561">
        <v>325</v>
      </c>
      <c r="K561" t="s">
        <v>58</v>
      </c>
      <c r="L561" t="s">
        <v>58</v>
      </c>
      <c r="M561" t="b">
        <v>0</v>
      </c>
      <c r="N561">
        <v>36560875</v>
      </c>
      <c r="O561" t="b">
        <f t="shared" si="16"/>
        <v>1</v>
      </c>
      <c r="P561">
        <v>112495</v>
      </c>
      <c r="Q561">
        <f t="shared" si="17"/>
        <v>0</v>
      </c>
      <c r="R561">
        <v>1</v>
      </c>
      <c r="S561">
        <v>10</v>
      </c>
      <c r="T561" t="b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112495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</row>
    <row r="562" spans="1:56" x14ac:dyDescent="0.3">
      <c r="A562" t="s">
        <v>135</v>
      </c>
      <c r="B562" t="s">
        <v>64</v>
      </c>
      <c r="C562">
        <v>2082</v>
      </c>
      <c r="D562">
        <v>11</v>
      </c>
      <c r="E562">
        <v>8</v>
      </c>
      <c r="F562" t="s">
        <v>60</v>
      </c>
      <c r="G562">
        <v>96250</v>
      </c>
      <c r="H562">
        <v>300</v>
      </c>
      <c r="I562">
        <v>350</v>
      </c>
      <c r="J562">
        <v>325</v>
      </c>
      <c r="K562" t="s">
        <v>58</v>
      </c>
      <c r="L562" t="s">
        <v>58</v>
      </c>
      <c r="M562" t="b">
        <v>0</v>
      </c>
      <c r="N562">
        <v>31281250</v>
      </c>
      <c r="O562" t="b">
        <f t="shared" si="16"/>
        <v>1</v>
      </c>
      <c r="P562">
        <v>96250</v>
      </c>
      <c r="Q562">
        <f t="shared" si="17"/>
        <v>0</v>
      </c>
      <c r="R562">
        <v>1</v>
      </c>
      <c r="S562">
        <v>10</v>
      </c>
      <c r="T562" t="b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96250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</row>
    <row r="563" spans="1:56" x14ac:dyDescent="0.3">
      <c r="A563" t="s">
        <v>135</v>
      </c>
      <c r="B563" t="s">
        <v>64</v>
      </c>
      <c r="C563">
        <v>2082</v>
      </c>
      <c r="D563">
        <v>12</v>
      </c>
      <c r="E563">
        <v>9</v>
      </c>
      <c r="F563" t="s">
        <v>61</v>
      </c>
      <c r="G563">
        <v>124900</v>
      </c>
      <c r="H563">
        <v>300</v>
      </c>
      <c r="I563">
        <v>350</v>
      </c>
      <c r="J563">
        <v>325</v>
      </c>
      <c r="K563" t="s">
        <v>58</v>
      </c>
      <c r="L563" t="s">
        <v>58</v>
      </c>
      <c r="M563" t="b">
        <v>0</v>
      </c>
      <c r="N563">
        <v>40592500</v>
      </c>
      <c r="O563" t="b">
        <f t="shared" si="16"/>
        <v>1</v>
      </c>
      <c r="P563">
        <v>124900</v>
      </c>
      <c r="Q563">
        <f t="shared" si="17"/>
        <v>0</v>
      </c>
      <c r="R563">
        <v>1</v>
      </c>
      <c r="S563">
        <v>10</v>
      </c>
      <c r="T563" t="b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124900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</row>
    <row r="564" spans="1:56" x14ac:dyDescent="0.3">
      <c r="A564" t="s">
        <v>135</v>
      </c>
      <c r="B564" t="s">
        <v>64</v>
      </c>
      <c r="C564">
        <v>2083</v>
      </c>
      <c r="D564">
        <v>1</v>
      </c>
      <c r="E564">
        <v>10</v>
      </c>
      <c r="F564" t="s">
        <v>62</v>
      </c>
      <c r="G564">
        <v>126440</v>
      </c>
      <c r="H564">
        <v>300</v>
      </c>
      <c r="I564">
        <v>350</v>
      </c>
      <c r="J564">
        <v>325</v>
      </c>
      <c r="K564" t="s">
        <v>58</v>
      </c>
      <c r="L564" t="s">
        <v>58</v>
      </c>
      <c r="M564" t="b">
        <v>0</v>
      </c>
      <c r="N564">
        <v>41093000</v>
      </c>
      <c r="O564" t="b">
        <f t="shared" si="16"/>
        <v>1</v>
      </c>
      <c r="P564">
        <v>126440</v>
      </c>
      <c r="Q564">
        <f t="shared" si="17"/>
        <v>0</v>
      </c>
      <c r="R564">
        <v>1</v>
      </c>
      <c r="S564">
        <v>10</v>
      </c>
      <c r="T564" t="b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126440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</row>
    <row r="565" spans="1:56" x14ac:dyDescent="0.3">
      <c r="A565" t="s">
        <v>136</v>
      </c>
      <c r="B565" t="s">
        <v>56</v>
      </c>
      <c r="C565">
        <v>2082</v>
      </c>
      <c r="D565">
        <v>9</v>
      </c>
      <c r="E565">
        <v>6</v>
      </c>
      <c r="F565" t="s">
        <v>57</v>
      </c>
      <c r="G565">
        <v>295330</v>
      </c>
      <c r="H565">
        <v>0</v>
      </c>
      <c r="I565">
        <v>0</v>
      </c>
      <c r="J565">
        <v>32.840000000000003</v>
      </c>
      <c r="K565" t="s">
        <v>58</v>
      </c>
      <c r="L565" t="s">
        <v>58</v>
      </c>
      <c r="M565" t="b">
        <v>0</v>
      </c>
      <c r="N565">
        <v>9698637.1999999993</v>
      </c>
      <c r="O565" t="b">
        <f t="shared" si="16"/>
        <v>1</v>
      </c>
      <c r="P565">
        <v>295330</v>
      </c>
      <c r="Q565">
        <f t="shared" si="17"/>
        <v>0</v>
      </c>
      <c r="R565">
        <v>0.80374496326143596</v>
      </c>
      <c r="S565">
        <v>1</v>
      </c>
      <c r="T565" t="b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237370</v>
      </c>
      <c r="AF565">
        <v>0</v>
      </c>
      <c r="AG565">
        <v>2250</v>
      </c>
      <c r="AH565">
        <v>0</v>
      </c>
      <c r="AI565">
        <v>0</v>
      </c>
      <c r="AJ565">
        <v>0</v>
      </c>
      <c r="AK565">
        <v>15285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36340</v>
      </c>
      <c r="AR565">
        <v>0</v>
      </c>
      <c r="AS565">
        <v>4085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</row>
    <row r="566" spans="1:56" x14ac:dyDescent="0.3">
      <c r="A566" t="s">
        <v>137</v>
      </c>
      <c r="B566" t="s">
        <v>56</v>
      </c>
      <c r="C566">
        <v>2082</v>
      </c>
      <c r="D566">
        <v>4</v>
      </c>
      <c r="E566">
        <v>1</v>
      </c>
      <c r="F566" t="s">
        <v>70</v>
      </c>
      <c r="G566">
        <v>0</v>
      </c>
      <c r="H566">
        <v>40</v>
      </c>
      <c r="I566">
        <v>50</v>
      </c>
      <c r="J566">
        <v>45</v>
      </c>
      <c r="K566" t="s">
        <v>58</v>
      </c>
      <c r="L566" t="s">
        <v>58</v>
      </c>
      <c r="M566" t="b">
        <v>0</v>
      </c>
      <c r="N566">
        <v>0</v>
      </c>
      <c r="O566" t="b">
        <f t="shared" si="16"/>
        <v>1</v>
      </c>
      <c r="P566">
        <v>0</v>
      </c>
      <c r="Q566">
        <f t="shared" si="17"/>
        <v>0</v>
      </c>
      <c r="S566">
        <v>6</v>
      </c>
      <c r="T566" t="b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</row>
    <row r="567" spans="1:56" x14ac:dyDescent="0.3">
      <c r="A567" t="s">
        <v>137</v>
      </c>
      <c r="B567" t="s">
        <v>56</v>
      </c>
      <c r="C567">
        <v>2082</v>
      </c>
      <c r="D567">
        <v>6</v>
      </c>
      <c r="E567">
        <v>3</v>
      </c>
      <c r="F567" t="s">
        <v>66</v>
      </c>
      <c r="G567">
        <v>0</v>
      </c>
      <c r="H567">
        <v>40</v>
      </c>
      <c r="I567">
        <v>50</v>
      </c>
      <c r="J567">
        <v>45</v>
      </c>
      <c r="K567" t="s">
        <v>58</v>
      </c>
      <c r="L567" t="s">
        <v>58</v>
      </c>
      <c r="M567" t="b">
        <v>0</v>
      </c>
      <c r="N567">
        <v>0</v>
      </c>
      <c r="O567" t="b">
        <f t="shared" si="16"/>
        <v>1</v>
      </c>
      <c r="P567">
        <v>0</v>
      </c>
      <c r="Q567">
        <f t="shared" si="17"/>
        <v>0</v>
      </c>
      <c r="S567">
        <v>6</v>
      </c>
      <c r="T567" t="b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</row>
    <row r="568" spans="1:56" x14ac:dyDescent="0.3">
      <c r="A568" t="s">
        <v>137</v>
      </c>
      <c r="B568" t="s">
        <v>56</v>
      </c>
      <c r="C568">
        <v>2082</v>
      </c>
      <c r="D568">
        <v>7</v>
      </c>
      <c r="E568">
        <v>4</v>
      </c>
      <c r="F568" t="s">
        <v>67</v>
      </c>
      <c r="G568">
        <v>0</v>
      </c>
      <c r="H568">
        <v>40</v>
      </c>
      <c r="I568">
        <v>50</v>
      </c>
      <c r="J568">
        <v>45</v>
      </c>
      <c r="K568" t="s">
        <v>58</v>
      </c>
      <c r="L568" t="s">
        <v>58</v>
      </c>
      <c r="M568" t="b">
        <v>0</v>
      </c>
      <c r="N568">
        <v>0</v>
      </c>
      <c r="O568" t="b">
        <f t="shared" si="16"/>
        <v>1</v>
      </c>
      <c r="P568">
        <v>0</v>
      </c>
      <c r="Q568">
        <f t="shared" si="17"/>
        <v>0</v>
      </c>
      <c r="S568">
        <v>6</v>
      </c>
      <c r="T568" t="b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</row>
    <row r="569" spans="1:56" x14ac:dyDescent="0.3">
      <c r="A569" t="s">
        <v>137</v>
      </c>
      <c r="B569" t="s">
        <v>56</v>
      </c>
      <c r="C569">
        <v>2082</v>
      </c>
      <c r="D569">
        <v>10</v>
      </c>
      <c r="E569">
        <v>7</v>
      </c>
      <c r="F569" t="s">
        <v>59</v>
      </c>
      <c r="G569">
        <v>0</v>
      </c>
      <c r="H569">
        <v>40</v>
      </c>
      <c r="I569">
        <v>50</v>
      </c>
      <c r="J569">
        <v>45</v>
      </c>
      <c r="K569" t="s">
        <v>58</v>
      </c>
      <c r="L569" t="s">
        <v>58</v>
      </c>
      <c r="M569" t="b">
        <v>0</v>
      </c>
      <c r="N569">
        <v>0</v>
      </c>
      <c r="O569" t="b">
        <f t="shared" si="16"/>
        <v>1</v>
      </c>
      <c r="P569">
        <v>0</v>
      </c>
      <c r="Q569">
        <f t="shared" si="17"/>
        <v>0</v>
      </c>
      <c r="S569">
        <v>6</v>
      </c>
      <c r="T569" t="b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</row>
    <row r="570" spans="1:56" x14ac:dyDescent="0.3">
      <c r="A570" t="s">
        <v>137</v>
      </c>
      <c r="B570" t="s">
        <v>56</v>
      </c>
      <c r="C570">
        <v>2082</v>
      </c>
      <c r="D570">
        <v>11</v>
      </c>
      <c r="E570">
        <v>8</v>
      </c>
      <c r="F570" t="s">
        <v>60</v>
      </c>
      <c r="G570">
        <v>0</v>
      </c>
      <c r="H570">
        <v>40</v>
      </c>
      <c r="I570">
        <v>50</v>
      </c>
      <c r="J570">
        <v>45</v>
      </c>
      <c r="K570" t="s">
        <v>58</v>
      </c>
      <c r="L570" t="s">
        <v>58</v>
      </c>
      <c r="M570" t="b">
        <v>0</v>
      </c>
      <c r="N570">
        <v>0</v>
      </c>
      <c r="O570" t="b">
        <f t="shared" si="16"/>
        <v>1</v>
      </c>
      <c r="P570">
        <v>0</v>
      </c>
      <c r="Q570">
        <f t="shared" si="17"/>
        <v>0</v>
      </c>
      <c r="S570">
        <v>6</v>
      </c>
      <c r="T570" t="b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</row>
    <row r="571" spans="1:56" x14ac:dyDescent="0.3">
      <c r="A571" t="s">
        <v>137</v>
      </c>
      <c r="B571" t="s">
        <v>56</v>
      </c>
      <c r="C571">
        <v>2082</v>
      </c>
      <c r="D571">
        <v>12</v>
      </c>
      <c r="E571">
        <v>9</v>
      </c>
      <c r="F571" t="s">
        <v>61</v>
      </c>
      <c r="G571">
        <v>0</v>
      </c>
      <c r="H571">
        <v>40</v>
      </c>
      <c r="I571">
        <v>50</v>
      </c>
      <c r="J571">
        <v>43.47</v>
      </c>
      <c r="K571" t="s">
        <v>58</v>
      </c>
      <c r="L571" t="s">
        <v>58</v>
      </c>
      <c r="M571" t="b">
        <v>0</v>
      </c>
      <c r="N571">
        <v>0</v>
      </c>
      <c r="O571" t="b">
        <f t="shared" si="16"/>
        <v>1</v>
      </c>
      <c r="P571">
        <v>0</v>
      </c>
      <c r="Q571">
        <f t="shared" si="17"/>
        <v>0</v>
      </c>
      <c r="S571">
        <v>6</v>
      </c>
      <c r="T571" t="b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</row>
    <row r="572" spans="1:56" x14ac:dyDescent="0.3">
      <c r="A572" t="s">
        <v>138</v>
      </c>
      <c r="B572" t="s">
        <v>56</v>
      </c>
      <c r="C572">
        <v>2082</v>
      </c>
      <c r="D572">
        <v>4</v>
      </c>
      <c r="E572">
        <v>1</v>
      </c>
      <c r="F572" t="s">
        <v>70</v>
      </c>
      <c r="G572">
        <v>914370</v>
      </c>
      <c r="H572">
        <v>32</v>
      </c>
      <c r="I572">
        <v>45</v>
      </c>
      <c r="J572">
        <v>37.72</v>
      </c>
      <c r="K572" t="s">
        <v>58</v>
      </c>
      <c r="L572" t="s">
        <v>58</v>
      </c>
      <c r="M572" t="b">
        <v>0</v>
      </c>
      <c r="N572">
        <v>34490036.399999999</v>
      </c>
      <c r="O572" t="b">
        <f t="shared" si="16"/>
        <v>1</v>
      </c>
      <c r="P572">
        <v>914370</v>
      </c>
      <c r="Q572">
        <f t="shared" si="17"/>
        <v>0</v>
      </c>
      <c r="R572">
        <v>0.43424434309962001</v>
      </c>
      <c r="S572">
        <v>9</v>
      </c>
      <c r="T572" t="b">
        <v>0</v>
      </c>
      <c r="U572">
        <v>1140</v>
      </c>
      <c r="V572">
        <v>0</v>
      </c>
      <c r="W572">
        <v>0</v>
      </c>
      <c r="X572">
        <v>93480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303580</v>
      </c>
      <c r="AF572">
        <v>0</v>
      </c>
      <c r="AG572">
        <v>85360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54815</v>
      </c>
      <c r="AO572">
        <v>0</v>
      </c>
      <c r="AP572">
        <v>0</v>
      </c>
      <c r="AQ572">
        <v>11160</v>
      </c>
      <c r="AR572">
        <v>0</v>
      </c>
      <c r="AS572">
        <v>57830</v>
      </c>
      <c r="AT572">
        <v>0</v>
      </c>
      <c r="AU572">
        <v>0</v>
      </c>
      <c r="AV572">
        <v>305130</v>
      </c>
      <c r="AW572">
        <v>1875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</row>
    <row r="573" spans="1:56" x14ac:dyDescent="0.3">
      <c r="A573" t="s">
        <v>138</v>
      </c>
      <c r="B573" t="s">
        <v>56</v>
      </c>
      <c r="C573">
        <v>2082</v>
      </c>
      <c r="D573">
        <v>5</v>
      </c>
      <c r="E573">
        <v>2</v>
      </c>
      <c r="F573" t="s">
        <v>65</v>
      </c>
      <c r="G573">
        <v>824685</v>
      </c>
      <c r="H573">
        <v>32</v>
      </c>
      <c r="I573">
        <v>45</v>
      </c>
      <c r="J573">
        <v>37.950000000000003</v>
      </c>
      <c r="K573" t="s">
        <v>58</v>
      </c>
      <c r="L573" t="s">
        <v>58</v>
      </c>
      <c r="M573" t="b">
        <v>0</v>
      </c>
      <c r="N573">
        <v>31296795.75</v>
      </c>
      <c r="O573" t="b">
        <f t="shared" si="16"/>
        <v>1</v>
      </c>
      <c r="P573">
        <v>824685</v>
      </c>
      <c r="Q573">
        <f t="shared" si="17"/>
        <v>0</v>
      </c>
      <c r="R573">
        <v>0.70104949162407404</v>
      </c>
      <c r="S573">
        <v>9</v>
      </c>
      <c r="T573" t="b">
        <v>0</v>
      </c>
      <c r="U573">
        <v>0</v>
      </c>
      <c r="V573">
        <v>0</v>
      </c>
      <c r="W573">
        <v>0</v>
      </c>
      <c r="X573">
        <v>66320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511825</v>
      </c>
      <c r="AF573">
        <v>0</v>
      </c>
      <c r="AG573">
        <v>17970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25740</v>
      </c>
      <c r="AO573">
        <v>0</v>
      </c>
      <c r="AP573">
        <v>0</v>
      </c>
      <c r="AQ573">
        <v>4580</v>
      </c>
      <c r="AR573">
        <v>0</v>
      </c>
      <c r="AS573">
        <v>169300</v>
      </c>
      <c r="AT573">
        <v>0</v>
      </c>
      <c r="AU573">
        <v>0</v>
      </c>
      <c r="AV573">
        <v>28950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</row>
    <row r="574" spans="1:56" x14ac:dyDescent="0.3">
      <c r="A574" t="s">
        <v>138</v>
      </c>
      <c r="B574" t="s">
        <v>56</v>
      </c>
      <c r="C574">
        <v>2082</v>
      </c>
      <c r="D574">
        <v>6</v>
      </c>
      <c r="E574">
        <v>3</v>
      </c>
      <c r="F574" t="s">
        <v>66</v>
      </c>
      <c r="G574">
        <v>362905</v>
      </c>
      <c r="H574">
        <v>35</v>
      </c>
      <c r="I574">
        <v>40</v>
      </c>
      <c r="J574">
        <v>37.5</v>
      </c>
      <c r="K574" t="s">
        <v>58</v>
      </c>
      <c r="L574" t="s">
        <v>58</v>
      </c>
      <c r="M574" t="b">
        <v>0</v>
      </c>
      <c r="N574">
        <v>13608937.5</v>
      </c>
      <c r="O574" t="b">
        <f t="shared" si="16"/>
        <v>1</v>
      </c>
      <c r="P574">
        <v>362905</v>
      </c>
      <c r="Q574">
        <f t="shared" si="17"/>
        <v>0</v>
      </c>
      <c r="R574">
        <v>0.72994309805596502</v>
      </c>
      <c r="S574">
        <v>9</v>
      </c>
      <c r="T574" t="b">
        <v>0</v>
      </c>
      <c r="U574">
        <v>0</v>
      </c>
      <c r="V574">
        <v>0</v>
      </c>
      <c r="W574">
        <v>0</v>
      </c>
      <c r="X574">
        <v>44500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220400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53695</v>
      </c>
      <c r="AO574">
        <v>0</v>
      </c>
      <c r="AP574">
        <v>0</v>
      </c>
      <c r="AQ574">
        <v>0</v>
      </c>
      <c r="AR574">
        <v>0</v>
      </c>
      <c r="AS574">
        <v>44310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</row>
    <row r="575" spans="1:56" x14ac:dyDescent="0.3">
      <c r="A575" t="s">
        <v>138</v>
      </c>
      <c r="B575" t="s">
        <v>56</v>
      </c>
      <c r="C575">
        <v>2082</v>
      </c>
      <c r="D575">
        <v>7</v>
      </c>
      <c r="E575">
        <v>4</v>
      </c>
      <c r="F575" t="s">
        <v>67</v>
      </c>
      <c r="G575">
        <v>547465</v>
      </c>
      <c r="H575">
        <v>35</v>
      </c>
      <c r="I575">
        <v>50</v>
      </c>
      <c r="J575">
        <v>44.21</v>
      </c>
      <c r="K575" t="s">
        <v>58</v>
      </c>
      <c r="L575" t="s">
        <v>58</v>
      </c>
      <c r="M575" t="b">
        <v>0</v>
      </c>
      <c r="N575">
        <v>24203427.649999999</v>
      </c>
      <c r="O575" t="b">
        <f t="shared" si="16"/>
        <v>1</v>
      </c>
      <c r="P575">
        <v>547465</v>
      </c>
      <c r="Q575">
        <f t="shared" si="17"/>
        <v>0</v>
      </c>
      <c r="R575">
        <v>0.72636606906377499</v>
      </c>
      <c r="S575">
        <v>9</v>
      </c>
      <c r="T575" t="b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397660</v>
      </c>
      <c r="AF575">
        <v>0</v>
      </c>
      <c r="AG575">
        <v>63260</v>
      </c>
      <c r="AH575">
        <v>0</v>
      </c>
      <c r="AI575">
        <v>0</v>
      </c>
      <c r="AJ575">
        <v>0</v>
      </c>
      <c r="AK575">
        <v>0</v>
      </c>
      <c r="AL575">
        <v>13325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73220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</row>
    <row r="576" spans="1:56" x14ac:dyDescent="0.3">
      <c r="A576" t="s">
        <v>138</v>
      </c>
      <c r="B576" t="s">
        <v>56</v>
      </c>
      <c r="C576">
        <v>2082</v>
      </c>
      <c r="D576">
        <v>8</v>
      </c>
      <c r="E576">
        <v>5</v>
      </c>
      <c r="F576" t="s">
        <v>68</v>
      </c>
      <c r="G576">
        <v>346925</v>
      </c>
      <c r="H576">
        <v>35</v>
      </c>
      <c r="I576">
        <v>50</v>
      </c>
      <c r="J576">
        <v>41.84</v>
      </c>
      <c r="K576" t="s">
        <v>58</v>
      </c>
      <c r="L576" t="s">
        <v>58</v>
      </c>
      <c r="M576" t="b">
        <v>0</v>
      </c>
      <c r="N576">
        <v>14515342</v>
      </c>
      <c r="O576" t="b">
        <f t="shared" si="16"/>
        <v>1</v>
      </c>
      <c r="P576">
        <v>346925</v>
      </c>
      <c r="Q576">
        <f t="shared" si="17"/>
        <v>0</v>
      </c>
      <c r="R576">
        <v>0.704532679974057</v>
      </c>
      <c r="S576">
        <v>9</v>
      </c>
      <c r="T576" t="b">
        <v>0</v>
      </c>
      <c r="U576">
        <v>0</v>
      </c>
      <c r="V576">
        <v>0</v>
      </c>
      <c r="W576">
        <v>0</v>
      </c>
      <c r="X576">
        <v>0</v>
      </c>
      <c r="Y576">
        <v>1875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244420</v>
      </c>
      <c r="AF576">
        <v>0</v>
      </c>
      <c r="AG576">
        <v>5210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20400</v>
      </c>
      <c r="AO576">
        <v>0</v>
      </c>
      <c r="AP576">
        <v>0</v>
      </c>
      <c r="AQ576">
        <v>0</v>
      </c>
      <c r="AR576">
        <v>0</v>
      </c>
      <c r="AS576">
        <v>75020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</row>
    <row r="577" spans="1:56" x14ac:dyDescent="0.3">
      <c r="A577" t="s">
        <v>138</v>
      </c>
      <c r="B577" t="s">
        <v>56</v>
      </c>
      <c r="C577">
        <v>2082</v>
      </c>
      <c r="D577">
        <v>10</v>
      </c>
      <c r="E577">
        <v>7</v>
      </c>
      <c r="F577" t="s">
        <v>59</v>
      </c>
      <c r="G577">
        <v>293665</v>
      </c>
      <c r="H577">
        <v>30</v>
      </c>
      <c r="I577">
        <v>40</v>
      </c>
      <c r="J577">
        <v>35</v>
      </c>
      <c r="K577" t="s">
        <v>58</v>
      </c>
      <c r="L577" t="s">
        <v>58</v>
      </c>
      <c r="M577" t="b">
        <v>0</v>
      </c>
      <c r="N577">
        <v>10278275</v>
      </c>
      <c r="O577" t="b">
        <f t="shared" si="16"/>
        <v>1</v>
      </c>
      <c r="P577">
        <v>293665</v>
      </c>
      <c r="Q577">
        <f t="shared" si="17"/>
        <v>0</v>
      </c>
      <c r="R577">
        <v>0.47145557012241801</v>
      </c>
      <c r="S577">
        <v>9</v>
      </c>
      <c r="T577" t="b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138450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37555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87220</v>
      </c>
      <c r="AR577">
        <v>0</v>
      </c>
      <c r="AS577">
        <v>30440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</row>
    <row r="578" spans="1:56" x14ac:dyDescent="0.3">
      <c r="A578" t="s">
        <v>138</v>
      </c>
      <c r="B578" t="s">
        <v>56</v>
      </c>
      <c r="C578">
        <v>2082</v>
      </c>
      <c r="D578">
        <v>11</v>
      </c>
      <c r="E578">
        <v>8</v>
      </c>
      <c r="F578" t="s">
        <v>60</v>
      </c>
      <c r="G578">
        <v>237025</v>
      </c>
      <c r="H578">
        <v>30</v>
      </c>
      <c r="I578">
        <v>40</v>
      </c>
      <c r="J578">
        <v>35</v>
      </c>
      <c r="K578" t="s">
        <v>58</v>
      </c>
      <c r="L578" t="s">
        <v>58</v>
      </c>
      <c r="M578" t="b">
        <v>0</v>
      </c>
      <c r="N578">
        <v>8295875</v>
      </c>
      <c r="O578" t="b">
        <f t="shared" ref="O578:O641" si="18">IF(P578=G578,TRUE,FALSE)</f>
        <v>1</v>
      </c>
      <c r="P578">
        <v>237025</v>
      </c>
      <c r="Q578">
        <f t="shared" si="17"/>
        <v>0</v>
      </c>
      <c r="R578">
        <v>0.47978061385929699</v>
      </c>
      <c r="S578">
        <v>9</v>
      </c>
      <c r="T578" t="b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113720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62635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36100</v>
      </c>
      <c r="AR578">
        <v>0</v>
      </c>
      <c r="AS578">
        <v>24570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</row>
    <row r="579" spans="1:56" x14ac:dyDescent="0.3">
      <c r="A579" t="s">
        <v>138</v>
      </c>
      <c r="B579" t="s">
        <v>56</v>
      </c>
      <c r="C579">
        <v>2082</v>
      </c>
      <c r="D579">
        <v>12</v>
      </c>
      <c r="E579">
        <v>9</v>
      </c>
      <c r="F579" t="s">
        <v>61</v>
      </c>
      <c r="G579">
        <v>390720</v>
      </c>
      <c r="H579">
        <v>30</v>
      </c>
      <c r="I579">
        <v>40</v>
      </c>
      <c r="J579">
        <v>33.299999999999997</v>
      </c>
      <c r="K579" t="s">
        <v>58</v>
      </c>
      <c r="L579" t="s">
        <v>58</v>
      </c>
      <c r="M579" t="b">
        <v>0</v>
      </c>
      <c r="N579">
        <v>13010976</v>
      </c>
      <c r="O579" t="b">
        <f t="shared" si="18"/>
        <v>1</v>
      </c>
      <c r="P579">
        <v>390720</v>
      </c>
      <c r="Q579">
        <f t="shared" si="17"/>
        <v>0</v>
      </c>
      <c r="R579">
        <v>0.65044021294021204</v>
      </c>
      <c r="S579">
        <v>9</v>
      </c>
      <c r="T579" t="b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254140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68750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67830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</row>
    <row r="580" spans="1:56" x14ac:dyDescent="0.3">
      <c r="A580" t="s">
        <v>138</v>
      </c>
      <c r="B580" t="s">
        <v>56</v>
      </c>
      <c r="C580">
        <v>2083</v>
      </c>
      <c r="D580">
        <v>1</v>
      </c>
      <c r="E580">
        <v>10</v>
      </c>
      <c r="F580" t="s">
        <v>62</v>
      </c>
      <c r="G580">
        <v>314617</v>
      </c>
      <c r="H580">
        <v>30</v>
      </c>
      <c r="I580">
        <v>35</v>
      </c>
      <c r="J580">
        <v>32.5</v>
      </c>
      <c r="K580" t="s">
        <v>58</v>
      </c>
      <c r="L580" t="s">
        <v>58</v>
      </c>
      <c r="M580" t="b">
        <v>0</v>
      </c>
      <c r="N580">
        <v>10225052.5</v>
      </c>
      <c r="O580" t="b">
        <f t="shared" si="18"/>
        <v>1</v>
      </c>
      <c r="P580">
        <v>314617</v>
      </c>
      <c r="Q580">
        <f t="shared" si="17"/>
        <v>0</v>
      </c>
      <c r="R580">
        <v>0.45988296881605201</v>
      </c>
      <c r="S580">
        <v>9</v>
      </c>
      <c r="T580" t="b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5080</v>
      </c>
      <c r="AB580">
        <v>0</v>
      </c>
      <c r="AC580">
        <v>0</v>
      </c>
      <c r="AD580">
        <v>0</v>
      </c>
      <c r="AE580">
        <v>144687</v>
      </c>
      <c r="AF580">
        <v>0</v>
      </c>
      <c r="AG580">
        <v>7190</v>
      </c>
      <c r="AH580">
        <v>15400</v>
      </c>
      <c r="AI580">
        <v>0</v>
      </c>
      <c r="AJ580">
        <v>0</v>
      </c>
      <c r="AK580">
        <v>43540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80890</v>
      </c>
      <c r="AT580">
        <v>0</v>
      </c>
      <c r="AU580">
        <v>0</v>
      </c>
      <c r="AV580">
        <v>17830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</row>
    <row r="581" spans="1:56" x14ac:dyDescent="0.3">
      <c r="A581" t="s">
        <v>139</v>
      </c>
      <c r="B581" t="s">
        <v>56</v>
      </c>
      <c r="C581">
        <v>2082</v>
      </c>
      <c r="D581">
        <v>4</v>
      </c>
      <c r="E581">
        <v>1</v>
      </c>
      <c r="F581" t="s">
        <v>70</v>
      </c>
      <c r="G581">
        <v>0</v>
      </c>
      <c r="H581">
        <v>30</v>
      </c>
      <c r="I581">
        <v>45</v>
      </c>
      <c r="J581">
        <v>36.08</v>
      </c>
      <c r="K581" t="s">
        <v>58</v>
      </c>
      <c r="L581" t="s">
        <v>58</v>
      </c>
      <c r="M581" t="b">
        <v>0</v>
      </c>
      <c r="N581">
        <v>0</v>
      </c>
      <c r="O581" t="b">
        <f t="shared" si="18"/>
        <v>1</v>
      </c>
      <c r="P581">
        <v>0</v>
      </c>
      <c r="Q581">
        <f t="shared" si="17"/>
        <v>0</v>
      </c>
      <c r="S581">
        <v>7</v>
      </c>
      <c r="T581" t="b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</row>
    <row r="582" spans="1:56" x14ac:dyDescent="0.3">
      <c r="A582" t="s">
        <v>139</v>
      </c>
      <c r="B582" t="s">
        <v>56</v>
      </c>
      <c r="C582">
        <v>2082</v>
      </c>
      <c r="D582">
        <v>6</v>
      </c>
      <c r="E582">
        <v>3</v>
      </c>
      <c r="F582" t="s">
        <v>66</v>
      </c>
      <c r="G582">
        <v>0</v>
      </c>
      <c r="H582">
        <v>35</v>
      </c>
      <c r="I582">
        <v>40</v>
      </c>
      <c r="J582">
        <v>37.5</v>
      </c>
      <c r="K582" t="s">
        <v>58</v>
      </c>
      <c r="L582" t="s">
        <v>58</v>
      </c>
      <c r="M582" t="b">
        <v>0</v>
      </c>
      <c r="N582">
        <v>0</v>
      </c>
      <c r="O582" t="b">
        <f t="shared" si="18"/>
        <v>1</v>
      </c>
      <c r="P582">
        <v>0</v>
      </c>
      <c r="Q582">
        <f t="shared" si="17"/>
        <v>0</v>
      </c>
      <c r="S582">
        <v>7</v>
      </c>
      <c r="T582" t="b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</row>
    <row r="583" spans="1:56" x14ac:dyDescent="0.3">
      <c r="A583" t="s">
        <v>139</v>
      </c>
      <c r="B583" t="s">
        <v>56</v>
      </c>
      <c r="C583">
        <v>2082</v>
      </c>
      <c r="D583">
        <v>7</v>
      </c>
      <c r="E583">
        <v>4</v>
      </c>
      <c r="F583" t="s">
        <v>67</v>
      </c>
      <c r="G583">
        <v>0</v>
      </c>
      <c r="H583">
        <v>35</v>
      </c>
      <c r="I583">
        <v>50</v>
      </c>
      <c r="J583">
        <v>44.21</v>
      </c>
      <c r="K583" t="s">
        <v>58</v>
      </c>
      <c r="L583" t="s">
        <v>58</v>
      </c>
      <c r="M583" t="b">
        <v>0</v>
      </c>
      <c r="N583">
        <v>0</v>
      </c>
      <c r="O583" t="b">
        <f t="shared" si="18"/>
        <v>1</v>
      </c>
      <c r="P583">
        <v>0</v>
      </c>
      <c r="Q583">
        <f t="shared" si="17"/>
        <v>0</v>
      </c>
      <c r="S583">
        <v>7</v>
      </c>
      <c r="T583" t="b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</row>
    <row r="584" spans="1:56" x14ac:dyDescent="0.3">
      <c r="A584" t="s">
        <v>139</v>
      </c>
      <c r="B584" t="s">
        <v>56</v>
      </c>
      <c r="C584">
        <v>2082</v>
      </c>
      <c r="D584">
        <v>8</v>
      </c>
      <c r="E584">
        <v>5</v>
      </c>
      <c r="F584" t="s">
        <v>68</v>
      </c>
      <c r="G584">
        <v>0</v>
      </c>
      <c r="H584">
        <v>30</v>
      </c>
      <c r="I584">
        <v>50</v>
      </c>
      <c r="J584">
        <v>40.79</v>
      </c>
      <c r="K584" t="s">
        <v>58</v>
      </c>
      <c r="L584" t="s">
        <v>58</v>
      </c>
      <c r="M584" t="b">
        <v>0</v>
      </c>
      <c r="N584">
        <v>0</v>
      </c>
      <c r="O584" t="b">
        <f t="shared" si="18"/>
        <v>1</v>
      </c>
      <c r="P584">
        <v>0</v>
      </c>
      <c r="Q584">
        <f t="shared" si="17"/>
        <v>0</v>
      </c>
      <c r="S584">
        <v>7</v>
      </c>
      <c r="T584" t="b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</row>
    <row r="585" spans="1:56" x14ac:dyDescent="0.3">
      <c r="A585" t="s">
        <v>139</v>
      </c>
      <c r="B585" t="s">
        <v>56</v>
      </c>
      <c r="C585">
        <v>2082</v>
      </c>
      <c r="D585">
        <v>10</v>
      </c>
      <c r="E585">
        <v>7</v>
      </c>
      <c r="F585" t="s">
        <v>59</v>
      </c>
      <c r="G585">
        <v>0</v>
      </c>
      <c r="H585">
        <v>30</v>
      </c>
      <c r="I585">
        <v>35</v>
      </c>
      <c r="J585">
        <v>32.5</v>
      </c>
      <c r="K585" t="s">
        <v>58</v>
      </c>
      <c r="L585" t="s">
        <v>58</v>
      </c>
      <c r="M585" t="b">
        <v>0</v>
      </c>
      <c r="N585">
        <v>0</v>
      </c>
      <c r="O585" t="b">
        <f t="shared" si="18"/>
        <v>1</v>
      </c>
      <c r="P585">
        <v>0</v>
      </c>
      <c r="Q585">
        <f t="shared" si="17"/>
        <v>0</v>
      </c>
      <c r="S585">
        <v>7</v>
      </c>
      <c r="T585" t="b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</row>
    <row r="586" spans="1:56" x14ac:dyDescent="0.3">
      <c r="A586" t="s">
        <v>139</v>
      </c>
      <c r="B586" t="s">
        <v>56</v>
      </c>
      <c r="C586">
        <v>2082</v>
      </c>
      <c r="D586">
        <v>11</v>
      </c>
      <c r="E586">
        <v>8</v>
      </c>
      <c r="F586" t="s">
        <v>60</v>
      </c>
      <c r="G586">
        <v>0</v>
      </c>
      <c r="H586">
        <v>30</v>
      </c>
      <c r="I586">
        <v>35</v>
      </c>
      <c r="J586">
        <v>32.5</v>
      </c>
      <c r="K586" t="s">
        <v>58</v>
      </c>
      <c r="L586" t="s">
        <v>58</v>
      </c>
      <c r="M586" t="b">
        <v>0</v>
      </c>
      <c r="N586">
        <v>0</v>
      </c>
      <c r="O586" t="b">
        <f t="shared" si="18"/>
        <v>1</v>
      </c>
      <c r="P586">
        <v>0</v>
      </c>
      <c r="Q586">
        <f t="shared" si="17"/>
        <v>0</v>
      </c>
      <c r="S586">
        <v>7</v>
      </c>
      <c r="T586" t="b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</row>
    <row r="587" spans="1:56" x14ac:dyDescent="0.3">
      <c r="A587" t="s">
        <v>139</v>
      </c>
      <c r="B587" t="s">
        <v>56</v>
      </c>
      <c r="C587">
        <v>2082</v>
      </c>
      <c r="D587">
        <v>12</v>
      </c>
      <c r="E587">
        <v>9</v>
      </c>
      <c r="F587" t="s">
        <v>61</v>
      </c>
      <c r="G587">
        <v>0</v>
      </c>
      <c r="H587">
        <v>25</v>
      </c>
      <c r="I587">
        <v>35</v>
      </c>
      <c r="J587">
        <v>30.8</v>
      </c>
      <c r="K587" t="s">
        <v>58</v>
      </c>
      <c r="L587" t="s">
        <v>58</v>
      </c>
      <c r="M587" t="b">
        <v>0</v>
      </c>
      <c r="N587">
        <v>0</v>
      </c>
      <c r="O587" t="b">
        <f t="shared" si="18"/>
        <v>1</v>
      </c>
      <c r="P587">
        <v>0</v>
      </c>
      <c r="Q587">
        <f t="shared" si="17"/>
        <v>0</v>
      </c>
      <c r="S587">
        <v>7</v>
      </c>
      <c r="T587" t="b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</row>
    <row r="588" spans="1:56" x14ac:dyDescent="0.3">
      <c r="A588" t="s">
        <v>140</v>
      </c>
      <c r="B588" t="s">
        <v>56</v>
      </c>
      <c r="C588">
        <v>2082</v>
      </c>
      <c r="D588">
        <v>4</v>
      </c>
      <c r="E588">
        <v>1</v>
      </c>
      <c r="F588" t="s">
        <v>70</v>
      </c>
      <c r="G588">
        <v>58417</v>
      </c>
      <c r="H588">
        <v>50</v>
      </c>
      <c r="I588">
        <v>60</v>
      </c>
      <c r="J588">
        <v>55</v>
      </c>
      <c r="K588" t="s">
        <v>58</v>
      </c>
      <c r="L588" t="s">
        <v>58</v>
      </c>
      <c r="M588" t="b">
        <v>0</v>
      </c>
      <c r="N588">
        <v>3212935</v>
      </c>
      <c r="O588" t="b">
        <f t="shared" si="18"/>
        <v>1</v>
      </c>
      <c r="P588">
        <v>58417</v>
      </c>
      <c r="Q588">
        <f t="shared" si="17"/>
        <v>0</v>
      </c>
      <c r="R588">
        <v>0.57697245664789298</v>
      </c>
      <c r="S588">
        <v>10</v>
      </c>
      <c r="T588" t="b">
        <v>1</v>
      </c>
      <c r="U588">
        <v>1540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1875</v>
      </c>
      <c r="AC588">
        <v>3400</v>
      </c>
      <c r="AD588">
        <v>0</v>
      </c>
      <c r="AE588">
        <v>33705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7460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5670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4767</v>
      </c>
    </row>
    <row r="589" spans="1:56" x14ac:dyDescent="0.3">
      <c r="A589" t="s">
        <v>140</v>
      </c>
      <c r="B589" t="s">
        <v>56</v>
      </c>
      <c r="C589">
        <v>2082</v>
      </c>
      <c r="D589">
        <v>5</v>
      </c>
      <c r="E589">
        <v>2</v>
      </c>
      <c r="F589" t="s">
        <v>65</v>
      </c>
      <c r="G589">
        <v>35465</v>
      </c>
      <c r="H589">
        <v>40</v>
      </c>
      <c r="I589">
        <v>60</v>
      </c>
      <c r="J589">
        <v>49.52</v>
      </c>
      <c r="K589" t="s">
        <v>58</v>
      </c>
      <c r="L589" t="s">
        <v>58</v>
      </c>
      <c r="M589" t="b">
        <v>0</v>
      </c>
      <c r="N589">
        <v>1756226.8</v>
      </c>
      <c r="O589" t="b">
        <f t="shared" si="18"/>
        <v>1</v>
      </c>
      <c r="P589">
        <v>35465</v>
      </c>
      <c r="Q589">
        <f t="shared" si="17"/>
        <v>0</v>
      </c>
      <c r="R589">
        <v>0.78316650218525297</v>
      </c>
      <c r="S589">
        <v>10</v>
      </c>
      <c r="T589" t="b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2210</v>
      </c>
      <c r="AD589">
        <v>0</v>
      </c>
      <c r="AE589">
        <v>27775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3270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2210</v>
      </c>
      <c r="BD589">
        <v>0</v>
      </c>
    </row>
    <row r="590" spans="1:56" x14ac:dyDescent="0.3">
      <c r="A590" t="s">
        <v>140</v>
      </c>
      <c r="B590" t="s">
        <v>56</v>
      </c>
      <c r="C590">
        <v>2082</v>
      </c>
      <c r="D590">
        <v>6</v>
      </c>
      <c r="E590">
        <v>3</v>
      </c>
      <c r="F590" t="s">
        <v>66</v>
      </c>
      <c r="G590">
        <v>46130</v>
      </c>
      <c r="H590">
        <v>50</v>
      </c>
      <c r="I590">
        <v>80</v>
      </c>
      <c r="J590">
        <v>63.75</v>
      </c>
      <c r="K590" t="s">
        <v>58</v>
      </c>
      <c r="L590" t="s">
        <v>58</v>
      </c>
      <c r="M590" t="b">
        <v>0</v>
      </c>
      <c r="N590">
        <v>2940787.5</v>
      </c>
      <c r="O590" t="b">
        <f t="shared" si="18"/>
        <v>1</v>
      </c>
      <c r="P590">
        <v>46130</v>
      </c>
      <c r="Q590">
        <f t="shared" ref="Q590:Q653" si="19">ABS(P590-G590)</f>
        <v>0</v>
      </c>
      <c r="R590">
        <v>0.71536960763060897</v>
      </c>
      <c r="S590">
        <v>10</v>
      </c>
      <c r="T590" t="b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1875</v>
      </c>
      <c r="AC590">
        <v>0</v>
      </c>
      <c r="AD590">
        <v>2875</v>
      </c>
      <c r="AE590">
        <v>33000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6140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2240</v>
      </c>
    </row>
    <row r="591" spans="1:56" x14ac:dyDescent="0.3">
      <c r="A591" t="s">
        <v>140</v>
      </c>
      <c r="B591" t="s">
        <v>56</v>
      </c>
      <c r="C591">
        <v>2082</v>
      </c>
      <c r="D591">
        <v>7</v>
      </c>
      <c r="E591">
        <v>4</v>
      </c>
      <c r="F591" t="s">
        <v>67</v>
      </c>
      <c r="G591">
        <v>67450</v>
      </c>
      <c r="H591">
        <v>50</v>
      </c>
      <c r="I591">
        <v>60</v>
      </c>
      <c r="J591">
        <v>55</v>
      </c>
      <c r="K591" t="s">
        <v>58</v>
      </c>
      <c r="L591" t="s">
        <v>58</v>
      </c>
      <c r="M591" t="b">
        <v>0</v>
      </c>
      <c r="N591">
        <v>3709750</v>
      </c>
      <c r="O591" t="b">
        <f t="shared" si="18"/>
        <v>1</v>
      </c>
      <c r="P591">
        <v>67450</v>
      </c>
      <c r="Q591">
        <f t="shared" si="19"/>
        <v>0</v>
      </c>
      <c r="R591">
        <v>0.61801334321719703</v>
      </c>
      <c r="S591">
        <v>10</v>
      </c>
      <c r="T591" t="b">
        <v>1</v>
      </c>
      <c r="U591">
        <v>3690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2240</v>
      </c>
      <c r="AC591">
        <v>1120</v>
      </c>
      <c r="AD591">
        <v>0</v>
      </c>
      <c r="AE591">
        <v>41685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4400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3120</v>
      </c>
      <c r="AR591">
        <v>0</v>
      </c>
      <c r="AS591">
        <v>0</v>
      </c>
      <c r="AT591">
        <v>0</v>
      </c>
      <c r="AU591">
        <v>7655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3540</v>
      </c>
    </row>
    <row r="592" spans="1:56" x14ac:dyDescent="0.3">
      <c r="A592" t="s">
        <v>140</v>
      </c>
      <c r="B592" t="s">
        <v>56</v>
      </c>
      <c r="C592">
        <v>2082</v>
      </c>
      <c r="D592">
        <v>8</v>
      </c>
      <c r="E592">
        <v>5</v>
      </c>
      <c r="F592" t="s">
        <v>68</v>
      </c>
      <c r="G592">
        <v>86355</v>
      </c>
      <c r="H592">
        <v>50</v>
      </c>
      <c r="I592">
        <v>60</v>
      </c>
      <c r="J592">
        <v>55</v>
      </c>
      <c r="K592" t="s">
        <v>58</v>
      </c>
      <c r="L592" t="s">
        <v>58</v>
      </c>
      <c r="M592" t="b">
        <v>0</v>
      </c>
      <c r="N592">
        <v>4749525</v>
      </c>
      <c r="O592" t="b">
        <f t="shared" si="18"/>
        <v>1</v>
      </c>
      <c r="P592">
        <v>86355</v>
      </c>
      <c r="Q592">
        <f t="shared" si="19"/>
        <v>0</v>
      </c>
      <c r="R592">
        <v>0.598459845984598</v>
      </c>
      <c r="S592">
        <v>10</v>
      </c>
      <c r="T592" t="b">
        <v>1</v>
      </c>
      <c r="U592">
        <v>8340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9440</v>
      </c>
      <c r="AC592">
        <v>5650</v>
      </c>
      <c r="AD592">
        <v>2450</v>
      </c>
      <c r="AE592">
        <v>51680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5155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3640</v>
      </c>
    </row>
    <row r="593" spans="1:56" x14ac:dyDescent="0.3">
      <c r="A593" t="s">
        <v>140</v>
      </c>
      <c r="B593" t="s">
        <v>56</v>
      </c>
      <c r="C593">
        <v>2082</v>
      </c>
      <c r="D593">
        <v>9</v>
      </c>
      <c r="E593">
        <v>6</v>
      </c>
      <c r="F593" t="s">
        <v>57</v>
      </c>
      <c r="G593">
        <v>124127</v>
      </c>
      <c r="H593">
        <v>50</v>
      </c>
      <c r="I593">
        <v>60</v>
      </c>
      <c r="J593">
        <v>55</v>
      </c>
      <c r="K593" t="s">
        <v>58</v>
      </c>
      <c r="L593" t="s">
        <v>58</v>
      </c>
      <c r="M593" t="b">
        <v>0</v>
      </c>
      <c r="N593">
        <v>6826985</v>
      </c>
      <c r="O593" t="b">
        <f t="shared" si="18"/>
        <v>0</v>
      </c>
      <c r="P593">
        <v>123007</v>
      </c>
      <c r="Q593">
        <f t="shared" si="19"/>
        <v>1120</v>
      </c>
      <c r="R593">
        <v>0.38514068305055799</v>
      </c>
      <c r="S593">
        <v>10</v>
      </c>
      <c r="T593" t="b">
        <v>1</v>
      </c>
      <c r="U593">
        <v>25200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8350</v>
      </c>
      <c r="AC593">
        <v>20865</v>
      </c>
      <c r="AD593">
        <v>0</v>
      </c>
      <c r="AE593">
        <v>47375</v>
      </c>
      <c r="AF593">
        <v>0</v>
      </c>
      <c r="AG593">
        <v>0</v>
      </c>
      <c r="AH593">
        <v>0</v>
      </c>
      <c r="AI593">
        <v>0</v>
      </c>
      <c r="AJ593">
        <v>1150</v>
      </c>
      <c r="AK593">
        <v>5962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14105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</row>
    <row r="594" spans="1:56" x14ac:dyDescent="0.3">
      <c r="A594" t="s">
        <v>140</v>
      </c>
      <c r="B594" t="s">
        <v>56</v>
      </c>
      <c r="C594">
        <v>2082</v>
      </c>
      <c r="D594">
        <v>10</v>
      </c>
      <c r="E594">
        <v>7</v>
      </c>
      <c r="F594" t="s">
        <v>59</v>
      </c>
      <c r="G594">
        <v>58085</v>
      </c>
      <c r="H594">
        <v>50</v>
      </c>
      <c r="I594">
        <v>60</v>
      </c>
      <c r="J594">
        <v>55</v>
      </c>
      <c r="K594" t="s">
        <v>58</v>
      </c>
      <c r="L594" t="s">
        <v>58</v>
      </c>
      <c r="M594" t="b">
        <v>0</v>
      </c>
      <c r="N594">
        <v>3194675</v>
      </c>
      <c r="O594" t="b">
        <f t="shared" si="18"/>
        <v>1</v>
      </c>
      <c r="P594">
        <v>58085</v>
      </c>
      <c r="Q594">
        <f t="shared" si="19"/>
        <v>0</v>
      </c>
      <c r="R594">
        <v>0.53413101489196801</v>
      </c>
      <c r="S594">
        <v>10</v>
      </c>
      <c r="T594" t="b">
        <v>1</v>
      </c>
      <c r="U594">
        <v>18170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1140</v>
      </c>
      <c r="AC594">
        <v>4000</v>
      </c>
      <c r="AD594">
        <v>0</v>
      </c>
      <c r="AE594">
        <v>31025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3750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</row>
    <row r="595" spans="1:56" x14ac:dyDescent="0.3">
      <c r="A595" t="s">
        <v>140</v>
      </c>
      <c r="B595" t="s">
        <v>56</v>
      </c>
      <c r="C595">
        <v>2082</v>
      </c>
      <c r="D595">
        <v>11</v>
      </c>
      <c r="E595">
        <v>8</v>
      </c>
      <c r="F595" t="s">
        <v>60</v>
      </c>
      <c r="G595">
        <v>54065</v>
      </c>
      <c r="H595">
        <v>50</v>
      </c>
      <c r="I595">
        <v>60</v>
      </c>
      <c r="J595">
        <v>55</v>
      </c>
      <c r="K595" t="s">
        <v>58</v>
      </c>
      <c r="L595" t="s">
        <v>58</v>
      </c>
      <c r="M595" t="b">
        <v>0</v>
      </c>
      <c r="N595">
        <v>2973575</v>
      </c>
      <c r="O595" t="b">
        <f t="shared" si="18"/>
        <v>1</v>
      </c>
      <c r="P595">
        <v>54065</v>
      </c>
      <c r="Q595">
        <f t="shared" si="19"/>
        <v>0</v>
      </c>
      <c r="R595">
        <v>0.65948395449921304</v>
      </c>
      <c r="S595">
        <v>10</v>
      </c>
      <c r="T595" t="b">
        <v>1</v>
      </c>
      <c r="U595">
        <v>16170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2240</v>
      </c>
      <c r="AC595">
        <v>0</v>
      </c>
      <c r="AD595">
        <v>0</v>
      </c>
      <c r="AE595">
        <v>35655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</row>
    <row r="596" spans="1:56" x14ac:dyDescent="0.3">
      <c r="A596" t="s">
        <v>140</v>
      </c>
      <c r="B596" t="s">
        <v>56</v>
      </c>
      <c r="C596">
        <v>2082</v>
      </c>
      <c r="D596">
        <v>12</v>
      </c>
      <c r="E596">
        <v>9</v>
      </c>
      <c r="F596" t="s">
        <v>61</v>
      </c>
      <c r="G596">
        <v>93265</v>
      </c>
      <c r="H596">
        <v>50</v>
      </c>
      <c r="I596">
        <v>60</v>
      </c>
      <c r="J596">
        <v>55</v>
      </c>
      <c r="K596" t="s">
        <v>58</v>
      </c>
      <c r="L596" t="s">
        <v>58</v>
      </c>
      <c r="M596" t="b">
        <v>0</v>
      </c>
      <c r="N596">
        <v>5129575</v>
      </c>
      <c r="O596" t="b">
        <f t="shared" si="18"/>
        <v>1</v>
      </c>
      <c r="P596">
        <v>93265</v>
      </c>
      <c r="Q596">
        <f t="shared" si="19"/>
        <v>0</v>
      </c>
      <c r="R596">
        <v>0.62708411515573903</v>
      </c>
      <c r="S596">
        <v>10</v>
      </c>
      <c r="T596" t="b">
        <v>1</v>
      </c>
      <c r="U596">
        <v>24645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2240</v>
      </c>
      <c r="AC596">
        <v>0</v>
      </c>
      <c r="AD596">
        <v>0</v>
      </c>
      <c r="AE596">
        <v>58485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3985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3910</v>
      </c>
    </row>
    <row r="597" spans="1:56" x14ac:dyDescent="0.3">
      <c r="A597" t="s">
        <v>140</v>
      </c>
      <c r="B597" t="s">
        <v>56</v>
      </c>
      <c r="C597">
        <v>2083</v>
      </c>
      <c r="D597">
        <v>1</v>
      </c>
      <c r="E597">
        <v>10</v>
      </c>
      <c r="F597" t="s">
        <v>62</v>
      </c>
      <c r="G597">
        <v>69155</v>
      </c>
      <c r="H597">
        <v>30</v>
      </c>
      <c r="I597">
        <v>60</v>
      </c>
      <c r="J597">
        <v>54.13</v>
      </c>
      <c r="K597" t="s">
        <v>58</v>
      </c>
      <c r="L597" t="s">
        <v>58</v>
      </c>
      <c r="M597" t="b">
        <v>0</v>
      </c>
      <c r="N597">
        <v>3743360.15</v>
      </c>
      <c r="O597" t="b">
        <f t="shared" si="18"/>
        <v>1</v>
      </c>
      <c r="P597">
        <v>69155</v>
      </c>
      <c r="Q597">
        <f t="shared" si="19"/>
        <v>0</v>
      </c>
      <c r="R597">
        <v>0.72330272576097099</v>
      </c>
      <c r="S597">
        <v>10</v>
      </c>
      <c r="T597" t="b">
        <v>1</v>
      </c>
      <c r="U597">
        <v>10150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2270</v>
      </c>
      <c r="AD597">
        <v>0</v>
      </c>
      <c r="AE597">
        <v>50020</v>
      </c>
      <c r="AF597">
        <v>0</v>
      </c>
      <c r="AG597">
        <v>0</v>
      </c>
      <c r="AH597">
        <v>0</v>
      </c>
      <c r="AI597">
        <v>0</v>
      </c>
      <c r="AJ597">
        <v>1150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3875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1690</v>
      </c>
    </row>
    <row r="598" spans="1:56" x14ac:dyDescent="0.3">
      <c r="A598" t="s">
        <v>141</v>
      </c>
      <c r="B598" t="s">
        <v>56</v>
      </c>
      <c r="C598">
        <v>2082</v>
      </c>
      <c r="D598">
        <v>4</v>
      </c>
      <c r="E598">
        <v>1</v>
      </c>
      <c r="F598" t="s">
        <v>70</v>
      </c>
      <c r="G598">
        <v>194504</v>
      </c>
      <c r="H598">
        <v>60</v>
      </c>
      <c r="I598">
        <v>70</v>
      </c>
      <c r="J598">
        <v>65</v>
      </c>
      <c r="K598" t="s">
        <v>58</v>
      </c>
      <c r="L598" t="s">
        <v>58</v>
      </c>
      <c r="M598" t="b">
        <v>0</v>
      </c>
      <c r="N598">
        <v>12642760</v>
      </c>
      <c r="O598" t="b">
        <f t="shared" si="18"/>
        <v>1</v>
      </c>
      <c r="P598">
        <v>194504</v>
      </c>
      <c r="Q598">
        <f t="shared" si="19"/>
        <v>0</v>
      </c>
      <c r="R598">
        <v>2.80199893061325E-2</v>
      </c>
      <c r="S598">
        <v>10</v>
      </c>
      <c r="T598" t="b">
        <v>1</v>
      </c>
      <c r="U598">
        <v>3790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51493</v>
      </c>
      <c r="AC598">
        <v>5560</v>
      </c>
      <c r="AD598">
        <v>0</v>
      </c>
      <c r="AE598">
        <v>5450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72545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48421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7245</v>
      </c>
    </row>
    <row r="599" spans="1:56" x14ac:dyDescent="0.3">
      <c r="A599" t="s">
        <v>141</v>
      </c>
      <c r="B599" t="s">
        <v>56</v>
      </c>
      <c r="C599">
        <v>2082</v>
      </c>
      <c r="D599">
        <v>5</v>
      </c>
      <c r="E599">
        <v>2</v>
      </c>
      <c r="F599" t="s">
        <v>65</v>
      </c>
      <c r="G599">
        <v>151853</v>
      </c>
      <c r="H599">
        <v>60</v>
      </c>
      <c r="I599">
        <v>70</v>
      </c>
      <c r="J599">
        <v>65</v>
      </c>
      <c r="K599" t="s">
        <v>58</v>
      </c>
      <c r="L599" t="s">
        <v>58</v>
      </c>
      <c r="M599" t="b">
        <v>0</v>
      </c>
      <c r="N599">
        <v>9870445</v>
      </c>
      <c r="O599" t="b">
        <f t="shared" si="18"/>
        <v>1</v>
      </c>
      <c r="P599">
        <v>151853</v>
      </c>
      <c r="Q599">
        <f t="shared" si="19"/>
        <v>0</v>
      </c>
      <c r="R599">
        <v>5.5711773886587601E-2</v>
      </c>
      <c r="S599">
        <v>10</v>
      </c>
      <c r="T599" t="b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28630</v>
      </c>
      <c r="AC599">
        <v>8440</v>
      </c>
      <c r="AD599">
        <v>6320</v>
      </c>
      <c r="AE599">
        <v>8460</v>
      </c>
      <c r="AF599">
        <v>0</v>
      </c>
      <c r="AG599">
        <v>0</v>
      </c>
      <c r="AH599">
        <v>0</v>
      </c>
      <c r="AI599">
        <v>0</v>
      </c>
      <c r="AJ599">
        <v>1680</v>
      </c>
      <c r="AK599">
        <v>52752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34591</v>
      </c>
      <c r="AR599">
        <v>0</v>
      </c>
      <c r="AS599">
        <v>0</v>
      </c>
      <c r="AT599">
        <v>1580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540</v>
      </c>
      <c r="BD599">
        <v>8860</v>
      </c>
    </row>
    <row r="600" spans="1:56" x14ac:dyDescent="0.3">
      <c r="A600" t="s">
        <v>141</v>
      </c>
      <c r="B600" t="s">
        <v>56</v>
      </c>
      <c r="C600">
        <v>2082</v>
      </c>
      <c r="D600">
        <v>6</v>
      </c>
      <c r="E600">
        <v>3</v>
      </c>
      <c r="F600" t="s">
        <v>66</v>
      </c>
      <c r="G600">
        <v>104065</v>
      </c>
      <c r="H600">
        <v>50</v>
      </c>
      <c r="I600">
        <v>80</v>
      </c>
      <c r="J600">
        <v>66.25</v>
      </c>
      <c r="K600" t="s">
        <v>58</v>
      </c>
      <c r="L600" t="s">
        <v>58</v>
      </c>
      <c r="M600" t="b">
        <v>0</v>
      </c>
      <c r="N600">
        <v>6894306.25</v>
      </c>
      <c r="O600" t="b">
        <f t="shared" si="18"/>
        <v>0</v>
      </c>
      <c r="P600">
        <v>107145</v>
      </c>
      <c r="Q600">
        <f t="shared" si="19"/>
        <v>3080</v>
      </c>
      <c r="R600">
        <v>0</v>
      </c>
      <c r="S600">
        <v>10</v>
      </c>
      <c r="T600" t="b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23085</v>
      </c>
      <c r="AC600">
        <v>2250</v>
      </c>
      <c r="AD600">
        <v>18675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6160</v>
      </c>
      <c r="AK600">
        <v>36880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16200</v>
      </c>
      <c r="AR600">
        <v>0</v>
      </c>
      <c r="AS600">
        <v>0</v>
      </c>
      <c r="AT600">
        <v>1875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2020</v>
      </c>
    </row>
    <row r="601" spans="1:56" x14ac:dyDescent="0.3">
      <c r="A601" t="s">
        <v>141</v>
      </c>
      <c r="B601" t="s">
        <v>56</v>
      </c>
      <c r="C601">
        <v>2082</v>
      </c>
      <c r="D601">
        <v>7</v>
      </c>
      <c r="E601">
        <v>4</v>
      </c>
      <c r="F601" t="s">
        <v>67</v>
      </c>
      <c r="G601">
        <v>128770</v>
      </c>
      <c r="H601">
        <v>50</v>
      </c>
      <c r="I601">
        <v>100</v>
      </c>
      <c r="J601">
        <v>69.739999999999995</v>
      </c>
      <c r="K601" t="s">
        <v>58</v>
      </c>
      <c r="L601" t="s">
        <v>58</v>
      </c>
      <c r="M601" t="b">
        <v>0</v>
      </c>
      <c r="N601">
        <v>8980419.7999999896</v>
      </c>
      <c r="O601" t="b">
        <f t="shared" si="18"/>
        <v>1</v>
      </c>
      <c r="P601">
        <v>128770</v>
      </c>
      <c r="Q601">
        <f t="shared" si="19"/>
        <v>0</v>
      </c>
      <c r="R601">
        <v>2.2326628873184699E-2</v>
      </c>
      <c r="S601">
        <v>10</v>
      </c>
      <c r="T601" t="b">
        <v>1</v>
      </c>
      <c r="U601">
        <v>2240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31280</v>
      </c>
      <c r="AC601">
        <v>0</v>
      </c>
      <c r="AD601">
        <v>8960</v>
      </c>
      <c r="AE601">
        <v>2875</v>
      </c>
      <c r="AF601">
        <v>0</v>
      </c>
      <c r="AG601">
        <v>0</v>
      </c>
      <c r="AH601">
        <v>0</v>
      </c>
      <c r="AI601">
        <v>0</v>
      </c>
      <c r="AJ601">
        <v>1150</v>
      </c>
      <c r="AK601">
        <v>34875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47390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</row>
    <row r="602" spans="1:56" x14ac:dyDescent="0.3">
      <c r="A602" t="s">
        <v>141</v>
      </c>
      <c r="B602" t="s">
        <v>56</v>
      </c>
      <c r="C602">
        <v>2082</v>
      </c>
      <c r="D602">
        <v>8</v>
      </c>
      <c r="E602">
        <v>5</v>
      </c>
      <c r="F602" t="s">
        <v>68</v>
      </c>
      <c r="G602">
        <v>147119</v>
      </c>
      <c r="H602">
        <v>70</v>
      </c>
      <c r="I602">
        <v>120</v>
      </c>
      <c r="J602">
        <v>86.84</v>
      </c>
      <c r="K602" t="s">
        <v>58</v>
      </c>
      <c r="L602" t="s">
        <v>58</v>
      </c>
      <c r="M602" t="b">
        <v>0</v>
      </c>
      <c r="N602">
        <v>12775813.960000001</v>
      </c>
      <c r="O602" t="b">
        <f t="shared" si="18"/>
        <v>1</v>
      </c>
      <c r="P602">
        <v>147119</v>
      </c>
      <c r="Q602">
        <f t="shared" si="19"/>
        <v>0</v>
      </c>
      <c r="R602">
        <v>0</v>
      </c>
      <c r="S602">
        <v>10</v>
      </c>
      <c r="T602" t="b">
        <v>1</v>
      </c>
      <c r="U602">
        <v>8020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26334</v>
      </c>
      <c r="AC602">
        <v>1140</v>
      </c>
      <c r="AD602">
        <v>1540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540</v>
      </c>
      <c r="AK602">
        <v>41085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68460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</row>
    <row r="603" spans="1:56" x14ac:dyDescent="0.3">
      <c r="A603" t="s">
        <v>141</v>
      </c>
      <c r="B603" t="s">
        <v>56</v>
      </c>
      <c r="C603">
        <v>2082</v>
      </c>
      <c r="D603">
        <v>9</v>
      </c>
      <c r="E603">
        <v>6</v>
      </c>
      <c r="F603" t="s">
        <v>57</v>
      </c>
      <c r="G603">
        <v>83165</v>
      </c>
      <c r="H603">
        <v>70</v>
      </c>
      <c r="I603">
        <v>90</v>
      </c>
      <c r="J603">
        <v>80</v>
      </c>
      <c r="K603" t="s">
        <v>58</v>
      </c>
      <c r="L603" t="s">
        <v>58</v>
      </c>
      <c r="M603" t="b">
        <v>0</v>
      </c>
      <c r="N603">
        <v>6653200</v>
      </c>
      <c r="O603" t="b">
        <f t="shared" si="18"/>
        <v>1</v>
      </c>
      <c r="P603">
        <v>83165</v>
      </c>
      <c r="Q603">
        <f t="shared" si="19"/>
        <v>0</v>
      </c>
      <c r="R603">
        <v>0</v>
      </c>
      <c r="S603">
        <v>10</v>
      </c>
      <c r="T603" t="b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2580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22670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57915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</row>
    <row r="604" spans="1:56" x14ac:dyDescent="0.3">
      <c r="A604" t="s">
        <v>141</v>
      </c>
      <c r="B604" t="s">
        <v>56</v>
      </c>
      <c r="C604">
        <v>2082</v>
      </c>
      <c r="D604">
        <v>10</v>
      </c>
      <c r="E604">
        <v>7</v>
      </c>
      <c r="F604" t="s">
        <v>59</v>
      </c>
      <c r="G604">
        <v>62275</v>
      </c>
      <c r="H604">
        <v>30</v>
      </c>
      <c r="I604">
        <v>90</v>
      </c>
      <c r="J604">
        <v>57.29</v>
      </c>
      <c r="K604" t="s">
        <v>58</v>
      </c>
      <c r="L604" t="s">
        <v>58</v>
      </c>
      <c r="M604" t="b">
        <v>0</v>
      </c>
      <c r="N604">
        <v>3567734.75</v>
      </c>
      <c r="O604" t="b">
        <f t="shared" si="18"/>
        <v>1</v>
      </c>
      <c r="P604">
        <v>62275</v>
      </c>
      <c r="Q604">
        <f t="shared" si="19"/>
        <v>0</v>
      </c>
      <c r="R604">
        <v>0</v>
      </c>
      <c r="S604">
        <v>10</v>
      </c>
      <c r="T604" t="b">
        <v>1</v>
      </c>
      <c r="U604">
        <v>1150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16790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44335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</row>
    <row r="605" spans="1:56" x14ac:dyDescent="0.3">
      <c r="A605" t="s">
        <v>141</v>
      </c>
      <c r="B605" t="s">
        <v>56</v>
      </c>
      <c r="C605">
        <v>2082</v>
      </c>
      <c r="D605">
        <v>11</v>
      </c>
      <c r="E605">
        <v>8</v>
      </c>
      <c r="F605" t="s">
        <v>60</v>
      </c>
      <c r="G605">
        <v>70795</v>
      </c>
      <c r="H605">
        <v>30</v>
      </c>
      <c r="I605">
        <v>60</v>
      </c>
      <c r="J605">
        <v>45.56</v>
      </c>
      <c r="K605" t="s">
        <v>58</v>
      </c>
      <c r="L605" t="s">
        <v>58</v>
      </c>
      <c r="M605" t="b">
        <v>0</v>
      </c>
      <c r="N605">
        <v>3225420.2</v>
      </c>
      <c r="O605" t="b">
        <f t="shared" si="18"/>
        <v>1</v>
      </c>
      <c r="P605">
        <v>70795</v>
      </c>
      <c r="Q605">
        <f t="shared" si="19"/>
        <v>0</v>
      </c>
      <c r="R605">
        <v>0</v>
      </c>
      <c r="S605">
        <v>10</v>
      </c>
      <c r="T605" t="b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25180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45615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</row>
    <row r="606" spans="1:56" x14ac:dyDescent="0.3">
      <c r="A606" t="s">
        <v>141</v>
      </c>
      <c r="B606" t="s">
        <v>56</v>
      </c>
      <c r="C606">
        <v>2082</v>
      </c>
      <c r="D606">
        <v>12</v>
      </c>
      <c r="E606">
        <v>9</v>
      </c>
      <c r="F606" t="s">
        <v>61</v>
      </c>
      <c r="G606">
        <v>137205</v>
      </c>
      <c r="H606">
        <v>30</v>
      </c>
      <c r="I606">
        <v>70</v>
      </c>
      <c r="J606">
        <v>60.45</v>
      </c>
      <c r="K606" t="s">
        <v>58</v>
      </c>
      <c r="L606" t="s">
        <v>58</v>
      </c>
      <c r="M606" t="b">
        <v>0</v>
      </c>
      <c r="N606">
        <v>8294042.25</v>
      </c>
      <c r="O606" t="b">
        <f t="shared" si="18"/>
        <v>1</v>
      </c>
      <c r="P606">
        <v>137205</v>
      </c>
      <c r="Q606">
        <f t="shared" si="19"/>
        <v>0</v>
      </c>
      <c r="R606">
        <v>2.1682883276848499E-2</v>
      </c>
      <c r="S606">
        <v>10</v>
      </c>
      <c r="T606" t="b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6920</v>
      </c>
      <c r="AC606">
        <v>0</v>
      </c>
      <c r="AD606">
        <v>2540</v>
      </c>
      <c r="AE606">
        <v>2975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56040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68730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</row>
    <row r="607" spans="1:56" x14ac:dyDescent="0.3">
      <c r="A607" t="s">
        <v>141</v>
      </c>
      <c r="B607" t="s">
        <v>56</v>
      </c>
      <c r="C607">
        <v>2083</v>
      </c>
      <c r="D607">
        <v>1</v>
      </c>
      <c r="E607">
        <v>10</v>
      </c>
      <c r="F607" t="s">
        <v>62</v>
      </c>
      <c r="G607">
        <v>149795</v>
      </c>
      <c r="H607">
        <v>40</v>
      </c>
      <c r="I607">
        <v>70</v>
      </c>
      <c r="J607">
        <v>52.39</v>
      </c>
      <c r="K607" t="s">
        <v>58</v>
      </c>
      <c r="L607" t="s">
        <v>58</v>
      </c>
      <c r="M607" t="b">
        <v>0</v>
      </c>
      <c r="N607">
        <v>7847760.0499999998</v>
      </c>
      <c r="O607" t="b">
        <f t="shared" si="18"/>
        <v>1</v>
      </c>
      <c r="P607">
        <v>149795</v>
      </c>
      <c r="Q607">
        <f t="shared" si="19"/>
        <v>0</v>
      </c>
      <c r="R607">
        <v>4.98013952401615E-2</v>
      </c>
      <c r="S607">
        <v>10</v>
      </c>
      <c r="T607" t="b">
        <v>1</v>
      </c>
      <c r="U607">
        <v>4115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29410</v>
      </c>
      <c r="AC607">
        <v>2090</v>
      </c>
      <c r="AD607">
        <v>0</v>
      </c>
      <c r="AE607">
        <v>7460</v>
      </c>
      <c r="AF607">
        <v>0</v>
      </c>
      <c r="AG607">
        <v>3580</v>
      </c>
      <c r="AH607">
        <v>0</v>
      </c>
      <c r="AI607">
        <v>0</v>
      </c>
      <c r="AJ607">
        <v>0</v>
      </c>
      <c r="AK607">
        <v>58605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43415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1120</v>
      </c>
    </row>
    <row r="608" spans="1:56" x14ac:dyDescent="0.3">
      <c r="A608" t="s">
        <v>142</v>
      </c>
      <c r="B608" t="s">
        <v>56</v>
      </c>
      <c r="C608">
        <v>2082</v>
      </c>
      <c r="D608">
        <v>4</v>
      </c>
      <c r="E608">
        <v>1</v>
      </c>
      <c r="F608" t="s">
        <v>70</v>
      </c>
      <c r="G608">
        <v>6190</v>
      </c>
      <c r="H608">
        <v>30</v>
      </c>
      <c r="I608">
        <v>50</v>
      </c>
      <c r="J608">
        <v>39.4</v>
      </c>
      <c r="K608" t="s">
        <v>86</v>
      </c>
      <c r="L608" t="s">
        <v>86</v>
      </c>
      <c r="M608" t="b">
        <v>1</v>
      </c>
      <c r="N608">
        <v>243886</v>
      </c>
      <c r="O608" t="b">
        <f t="shared" si="18"/>
        <v>1</v>
      </c>
      <c r="P608">
        <v>6190</v>
      </c>
      <c r="Q608">
        <f t="shared" si="19"/>
        <v>0</v>
      </c>
      <c r="R608">
        <v>0</v>
      </c>
      <c r="S608">
        <v>7</v>
      </c>
      <c r="T608" t="b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6190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</row>
    <row r="609" spans="1:56" x14ac:dyDescent="0.3">
      <c r="A609" t="s">
        <v>142</v>
      </c>
      <c r="B609" t="s">
        <v>56</v>
      </c>
      <c r="C609">
        <v>2082</v>
      </c>
      <c r="D609">
        <v>5</v>
      </c>
      <c r="E609">
        <v>2</v>
      </c>
      <c r="F609" t="s">
        <v>65</v>
      </c>
      <c r="G609">
        <v>2470</v>
      </c>
      <c r="H609">
        <v>30</v>
      </c>
      <c r="I609">
        <v>70</v>
      </c>
      <c r="J609">
        <v>48.69</v>
      </c>
      <c r="K609" t="s">
        <v>86</v>
      </c>
      <c r="L609" t="s">
        <v>86</v>
      </c>
      <c r="M609" t="b">
        <v>1</v>
      </c>
      <c r="N609">
        <v>120264.299999999</v>
      </c>
      <c r="O609" t="b">
        <f t="shared" si="18"/>
        <v>1</v>
      </c>
      <c r="P609">
        <v>2470</v>
      </c>
      <c r="Q609">
        <f t="shared" si="19"/>
        <v>0</v>
      </c>
      <c r="R609">
        <v>0</v>
      </c>
      <c r="S609">
        <v>7</v>
      </c>
      <c r="T609" t="b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2470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</row>
    <row r="610" spans="1:56" x14ac:dyDescent="0.3">
      <c r="A610" t="s">
        <v>142</v>
      </c>
      <c r="B610" t="s">
        <v>56</v>
      </c>
      <c r="C610">
        <v>2082</v>
      </c>
      <c r="D610">
        <v>6</v>
      </c>
      <c r="E610">
        <v>3</v>
      </c>
      <c r="F610" t="s">
        <v>66</v>
      </c>
      <c r="G610">
        <v>530</v>
      </c>
      <c r="H610">
        <v>60</v>
      </c>
      <c r="I610">
        <v>100</v>
      </c>
      <c r="J610">
        <v>86.88</v>
      </c>
      <c r="K610" t="s">
        <v>86</v>
      </c>
      <c r="L610" t="s">
        <v>86</v>
      </c>
      <c r="M610" t="b">
        <v>1</v>
      </c>
      <c r="N610">
        <v>46046.3999999999</v>
      </c>
      <c r="O610" t="b">
        <f t="shared" si="18"/>
        <v>1</v>
      </c>
      <c r="P610">
        <v>530</v>
      </c>
      <c r="Q610">
        <f t="shared" si="19"/>
        <v>0</v>
      </c>
      <c r="R610">
        <v>0</v>
      </c>
      <c r="S610">
        <v>7</v>
      </c>
      <c r="T610" t="b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530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</row>
    <row r="611" spans="1:56" x14ac:dyDescent="0.3">
      <c r="A611" t="s">
        <v>142</v>
      </c>
      <c r="B611" t="s">
        <v>56</v>
      </c>
      <c r="C611">
        <v>2082</v>
      </c>
      <c r="D611">
        <v>7</v>
      </c>
      <c r="E611">
        <v>4</v>
      </c>
      <c r="F611" t="s">
        <v>67</v>
      </c>
      <c r="G611">
        <v>0</v>
      </c>
      <c r="H611">
        <v>60</v>
      </c>
      <c r="I611">
        <v>100</v>
      </c>
      <c r="J611">
        <v>71.430000000000007</v>
      </c>
      <c r="K611" t="s">
        <v>86</v>
      </c>
      <c r="L611" t="s">
        <v>86</v>
      </c>
      <c r="M611" t="b">
        <v>1</v>
      </c>
      <c r="N611">
        <v>0</v>
      </c>
      <c r="O611" t="b">
        <f t="shared" si="18"/>
        <v>1</v>
      </c>
      <c r="P611">
        <v>0</v>
      </c>
      <c r="Q611">
        <f t="shared" si="19"/>
        <v>0</v>
      </c>
      <c r="S611">
        <v>7</v>
      </c>
      <c r="T611" t="b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</row>
    <row r="612" spans="1:56" x14ac:dyDescent="0.3">
      <c r="A612" t="s">
        <v>142</v>
      </c>
      <c r="B612" t="s">
        <v>56</v>
      </c>
      <c r="C612">
        <v>2082</v>
      </c>
      <c r="D612">
        <v>11</v>
      </c>
      <c r="E612">
        <v>8</v>
      </c>
      <c r="F612" t="s">
        <v>60</v>
      </c>
      <c r="G612">
        <v>25</v>
      </c>
      <c r="H612">
        <v>0</v>
      </c>
      <c r="I612">
        <v>0</v>
      </c>
      <c r="J612">
        <v>95</v>
      </c>
      <c r="K612" t="s">
        <v>86</v>
      </c>
      <c r="L612" t="s">
        <v>86</v>
      </c>
      <c r="M612" t="b">
        <v>1</v>
      </c>
      <c r="N612">
        <v>2375</v>
      </c>
      <c r="O612" t="b">
        <f t="shared" si="18"/>
        <v>1</v>
      </c>
      <c r="P612">
        <v>25</v>
      </c>
      <c r="Q612">
        <f t="shared" si="19"/>
        <v>0</v>
      </c>
      <c r="R612">
        <v>0</v>
      </c>
      <c r="S612">
        <v>7</v>
      </c>
      <c r="T612" t="b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25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</row>
    <row r="613" spans="1:56" x14ac:dyDescent="0.3">
      <c r="A613" t="s">
        <v>142</v>
      </c>
      <c r="B613" t="s">
        <v>56</v>
      </c>
      <c r="C613">
        <v>2082</v>
      </c>
      <c r="D613">
        <v>12</v>
      </c>
      <c r="E613">
        <v>9</v>
      </c>
      <c r="F613" t="s">
        <v>61</v>
      </c>
      <c r="G613">
        <v>806</v>
      </c>
      <c r="H613">
        <v>0</v>
      </c>
      <c r="I613">
        <v>0</v>
      </c>
      <c r="J613">
        <v>75</v>
      </c>
      <c r="K613" t="s">
        <v>86</v>
      </c>
      <c r="L613" t="s">
        <v>86</v>
      </c>
      <c r="M613" t="b">
        <v>1</v>
      </c>
      <c r="N613">
        <v>60450</v>
      </c>
      <c r="O613" t="b">
        <f t="shared" si="18"/>
        <v>1</v>
      </c>
      <c r="P613">
        <v>806</v>
      </c>
      <c r="Q613">
        <f t="shared" si="19"/>
        <v>0</v>
      </c>
      <c r="R613">
        <v>1.86104218362282E-2</v>
      </c>
      <c r="S613">
        <v>7</v>
      </c>
      <c r="T613" t="b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15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791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</row>
    <row r="614" spans="1:56" x14ac:dyDescent="0.3">
      <c r="A614" t="s">
        <v>142</v>
      </c>
      <c r="B614" t="s">
        <v>56</v>
      </c>
      <c r="C614">
        <v>2083</v>
      </c>
      <c r="D614">
        <v>1</v>
      </c>
      <c r="E614">
        <v>10</v>
      </c>
      <c r="F614" t="s">
        <v>62</v>
      </c>
      <c r="G614">
        <v>2568</v>
      </c>
      <c r="H614">
        <v>60</v>
      </c>
      <c r="I614">
        <v>80</v>
      </c>
      <c r="J614">
        <v>70</v>
      </c>
      <c r="K614" t="s">
        <v>86</v>
      </c>
      <c r="L614" t="s">
        <v>86</v>
      </c>
      <c r="M614" t="b">
        <v>1</v>
      </c>
      <c r="N614">
        <v>179760</v>
      </c>
      <c r="O614" t="b">
        <f t="shared" si="18"/>
        <v>1</v>
      </c>
      <c r="P614">
        <v>2568</v>
      </c>
      <c r="Q614">
        <f t="shared" si="19"/>
        <v>0</v>
      </c>
      <c r="R614">
        <v>9.34579439252336E-2</v>
      </c>
      <c r="S614">
        <v>7</v>
      </c>
      <c r="T614" t="b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240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1983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345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</row>
    <row r="615" spans="1:56" x14ac:dyDescent="0.3">
      <c r="A615" t="s">
        <v>143</v>
      </c>
      <c r="B615" t="s">
        <v>56</v>
      </c>
      <c r="C615">
        <v>2082</v>
      </c>
      <c r="D615">
        <v>4</v>
      </c>
      <c r="E615">
        <v>1</v>
      </c>
      <c r="F615" t="s">
        <v>70</v>
      </c>
      <c r="G615">
        <v>3905</v>
      </c>
      <c r="H615">
        <v>100</v>
      </c>
      <c r="I615">
        <v>150</v>
      </c>
      <c r="J615">
        <v>117</v>
      </c>
      <c r="K615" t="s">
        <v>58</v>
      </c>
      <c r="L615" t="s">
        <v>58</v>
      </c>
      <c r="M615" t="b">
        <v>0</v>
      </c>
      <c r="N615">
        <v>456885</v>
      </c>
      <c r="O615" t="b">
        <f t="shared" si="18"/>
        <v>1</v>
      </c>
      <c r="P615">
        <v>3905</v>
      </c>
      <c r="Q615">
        <f t="shared" si="19"/>
        <v>0</v>
      </c>
      <c r="R615">
        <v>0</v>
      </c>
      <c r="S615">
        <v>10</v>
      </c>
      <c r="T615" t="b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1060</v>
      </c>
      <c r="AE615">
        <v>0</v>
      </c>
      <c r="AF615">
        <v>0</v>
      </c>
      <c r="AG615">
        <v>240</v>
      </c>
      <c r="AH615">
        <v>0</v>
      </c>
      <c r="AI615">
        <v>0</v>
      </c>
      <c r="AJ615">
        <v>0</v>
      </c>
      <c r="AK615">
        <v>2605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</row>
    <row r="616" spans="1:56" x14ac:dyDescent="0.3">
      <c r="A616" t="s">
        <v>143</v>
      </c>
      <c r="B616" t="s">
        <v>56</v>
      </c>
      <c r="C616">
        <v>2082</v>
      </c>
      <c r="D616">
        <v>5</v>
      </c>
      <c r="E616">
        <v>2</v>
      </c>
      <c r="F616" t="s">
        <v>65</v>
      </c>
      <c r="G616">
        <v>1105</v>
      </c>
      <c r="H616">
        <v>100</v>
      </c>
      <c r="I616">
        <v>150</v>
      </c>
      <c r="J616">
        <v>112.78</v>
      </c>
      <c r="K616" t="s">
        <v>58</v>
      </c>
      <c r="L616" t="s">
        <v>58</v>
      </c>
      <c r="M616" t="b">
        <v>0</v>
      </c>
      <c r="N616">
        <v>124621.9</v>
      </c>
      <c r="O616" t="b">
        <f t="shared" si="18"/>
        <v>1</v>
      </c>
      <c r="P616">
        <v>1105</v>
      </c>
      <c r="Q616">
        <f t="shared" si="19"/>
        <v>0</v>
      </c>
      <c r="R616">
        <v>0</v>
      </c>
      <c r="S616">
        <v>10</v>
      </c>
      <c r="T616" t="b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750</v>
      </c>
      <c r="AE616">
        <v>0</v>
      </c>
      <c r="AF616">
        <v>0</v>
      </c>
      <c r="AG616">
        <v>150</v>
      </c>
      <c r="AH616">
        <v>0</v>
      </c>
      <c r="AI616">
        <v>0</v>
      </c>
      <c r="AJ616">
        <v>0</v>
      </c>
      <c r="AK616">
        <v>205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</row>
    <row r="617" spans="1:56" x14ac:dyDescent="0.3">
      <c r="A617" t="s">
        <v>143</v>
      </c>
      <c r="B617" t="s">
        <v>56</v>
      </c>
      <c r="C617">
        <v>2082</v>
      </c>
      <c r="D617">
        <v>6</v>
      </c>
      <c r="E617">
        <v>3</v>
      </c>
      <c r="F617" t="s">
        <v>66</v>
      </c>
      <c r="G617">
        <v>0</v>
      </c>
      <c r="H617">
        <v>80</v>
      </c>
      <c r="I617">
        <v>150</v>
      </c>
      <c r="J617">
        <v>124.06</v>
      </c>
      <c r="K617" t="s">
        <v>58</v>
      </c>
      <c r="L617" t="s">
        <v>58</v>
      </c>
      <c r="M617" t="b">
        <v>0</v>
      </c>
      <c r="N617">
        <v>0</v>
      </c>
      <c r="O617" t="b">
        <f t="shared" si="18"/>
        <v>1</v>
      </c>
      <c r="P617">
        <v>0</v>
      </c>
      <c r="Q617">
        <f t="shared" si="19"/>
        <v>0</v>
      </c>
      <c r="S617">
        <v>10</v>
      </c>
      <c r="T617" t="b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</row>
    <row r="618" spans="1:56" x14ac:dyDescent="0.3">
      <c r="A618" t="s">
        <v>143</v>
      </c>
      <c r="B618" t="s">
        <v>56</v>
      </c>
      <c r="C618">
        <v>2082</v>
      </c>
      <c r="D618">
        <v>7</v>
      </c>
      <c r="E618">
        <v>4</v>
      </c>
      <c r="F618" t="s">
        <v>67</v>
      </c>
      <c r="G618">
        <v>3290</v>
      </c>
      <c r="H618">
        <v>100</v>
      </c>
      <c r="I618">
        <v>150</v>
      </c>
      <c r="J618">
        <v>114.21</v>
      </c>
      <c r="K618" t="s">
        <v>58</v>
      </c>
      <c r="L618" t="s">
        <v>58</v>
      </c>
      <c r="M618" t="b">
        <v>0</v>
      </c>
      <c r="N618">
        <v>375750.89999999898</v>
      </c>
      <c r="O618" t="b">
        <f t="shared" si="18"/>
        <v>1</v>
      </c>
      <c r="P618">
        <v>3290</v>
      </c>
      <c r="Q618">
        <f t="shared" si="19"/>
        <v>0</v>
      </c>
      <c r="R618">
        <v>0</v>
      </c>
      <c r="S618">
        <v>10</v>
      </c>
      <c r="T618" t="b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210</v>
      </c>
      <c r="AE618">
        <v>0</v>
      </c>
      <c r="AF618">
        <v>0</v>
      </c>
      <c r="AG618">
        <v>480</v>
      </c>
      <c r="AH618">
        <v>0</v>
      </c>
      <c r="AI618">
        <v>0</v>
      </c>
      <c r="AJ618">
        <v>0</v>
      </c>
      <c r="AK618">
        <v>2060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540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</row>
    <row r="619" spans="1:56" x14ac:dyDescent="0.3">
      <c r="A619" t="s">
        <v>143</v>
      </c>
      <c r="B619" t="s">
        <v>56</v>
      </c>
      <c r="C619">
        <v>2082</v>
      </c>
      <c r="D619">
        <v>8</v>
      </c>
      <c r="E619">
        <v>5</v>
      </c>
      <c r="F619" t="s">
        <v>68</v>
      </c>
      <c r="G619">
        <v>7640</v>
      </c>
      <c r="H619">
        <v>100</v>
      </c>
      <c r="I619">
        <v>120</v>
      </c>
      <c r="J619">
        <v>110</v>
      </c>
      <c r="K619" t="s">
        <v>58</v>
      </c>
      <c r="L619" t="s">
        <v>58</v>
      </c>
      <c r="M619" t="b">
        <v>0</v>
      </c>
      <c r="N619">
        <v>840400</v>
      </c>
      <c r="O619" t="b">
        <f t="shared" si="18"/>
        <v>1</v>
      </c>
      <c r="P619">
        <v>7640</v>
      </c>
      <c r="Q619">
        <f t="shared" si="19"/>
        <v>0</v>
      </c>
      <c r="R619">
        <v>0</v>
      </c>
      <c r="S619">
        <v>10</v>
      </c>
      <c r="T619" t="b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1290</v>
      </c>
      <c r="AH619">
        <v>0</v>
      </c>
      <c r="AI619">
        <v>0</v>
      </c>
      <c r="AJ619">
        <v>0</v>
      </c>
      <c r="AK619">
        <v>2500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3850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</row>
    <row r="620" spans="1:56" x14ac:dyDescent="0.3">
      <c r="A620" t="s">
        <v>143</v>
      </c>
      <c r="B620" t="s">
        <v>56</v>
      </c>
      <c r="C620">
        <v>2082</v>
      </c>
      <c r="D620">
        <v>9</v>
      </c>
      <c r="E620">
        <v>6</v>
      </c>
      <c r="F620" t="s">
        <v>57</v>
      </c>
      <c r="G620">
        <v>10250</v>
      </c>
      <c r="H620">
        <v>80</v>
      </c>
      <c r="I620">
        <v>100</v>
      </c>
      <c r="J620">
        <v>90</v>
      </c>
      <c r="K620" t="s">
        <v>58</v>
      </c>
      <c r="L620" t="s">
        <v>58</v>
      </c>
      <c r="M620" t="b">
        <v>0</v>
      </c>
      <c r="N620">
        <v>922500</v>
      </c>
      <c r="O620" t="b">
        <f t="shared" si="18"/>
        <v>1</v>
      </c>
      <c r="P620">
        <v>10250</v>
      </c>
      <c r="Q620">
        <f t="shared" si="19"/>
        <v>0</v>
      </c>
      <c r="R620">
        <v>0</v>
      </c>
      <c r="S620">
        <v>10</v>
      </c>
      <c r="T620" t="b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6260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3990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</row>
    <row r="621" spans="1:56" x14ac:dyDescent="0.3">
      <c r="A621" t="s">
        <v>143</v>
      </c>
      <c r="B621" t="s">
        <v>56</v>
      </c>
      <c r="C621">
        <v>2082</v>
      </c>
      <c r="D621">
        <v>10</v>
      </c>
      <c r="E621">
        <v>7</v>
      </c>
      <c r="F621" t="s">
        <v>59</v>
      </c>
      <c r="G621">
        <v>5250</v>
      </c>
      <c r="H621">
        <v>60</v>
      </c>
      <c r="I621">
        <v>120</v>
      </c>
      <c r="J621">
        <v>91.14</v>
      </c>
      <c r="K621" t="s">
        <v>58</v>
      </c>
      <c r="L621" t="s">
        <v>58</v>
      </c>
      <c r="M621" t="b">
        <v>0</v>
      </c>
      <c r="N621">
        <v>478485</v>
      </c>
      <c r="O621" t="b">
        <f t="shared" si="18"/>
        <v>1</v>
      </c>
      <c r="P621">
        <v>5250</v>
      </c>
      <c r="Q621">
        <f t="shared" si="19"/>
        <v>0</v>
      </c>
      <c r="R621">
        <v>0</v>
      </c>
      <c r="S621">
        <v>10</v>
      </c>
      <c r="T621" t="b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210</v>
      </c>
      <c r="AH621">
        <v>0</v>
      </c>
      <c r="AI621">
        <v>0</v>
      </c>
      <c r="AJ621">
        <v>0</v>
      </c>
      <c r="AK621">
        <v>2890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2150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</row>
    <row r="622" spans="1:56" x14ac:dyDescent="0.3">
      <c r="A622" t="s">
        <v>143</v>
      </c>
      <c r="B622" t="s">
        <v>56</v>
      </c>
      <c r="C622">
        <v>2082</v>
      </c>
      <c r="D622">
        <v>11</v>
      </c>
      <c r="E622">
        <v>8</v>
      </c>
      <c r="F622" t="s">
        <v>60</v>
      </c>
      <c r="G622">
        <v>10830</v>
      </c>
      <c r="H622">
        <v>60</v>
      </c>
      <c r="I622">
        <v>120</v>
      </c>
      <c r="J622">
        <v>92.22</v>
      </c>
      <c r="K622" t="s">
        <v>58</v>
      </c>
      <c r="L622" t="s">
        <v>58</v>
      </c>
      <c r="M622" t="b">
        <v>0</v>
      </c>
      <c r="N622">
        <v>998742.6</v>
      </c>
      <c r="O622" t="b">
        <f t="shared" si="18"/>
        <v>1</v>
      </c>
      <c r="P622">
        <v>10830</v>
      </c>
      <c r="Q622">
        <f t="shared" si="19"/>
        <v>0</v>
      </c>
      <c r="R622">
        <v>0</v>
      </c>
      <c r="S622">
        <v>10</v>
      </c>
      <c r="T622" t="b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120</v>
      </c>
      <c r="AH622">
        <v>0</v>
      </c>
      <c r="AI622">
        <v>0</v>
      </c>
      <c r="AJ622">
        <v>0</v>
      </c>
      <c r="AK622">
        <v>8400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2310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</row>
    <row r="623" spans="1:56" x14ac:dyDescent="0.3">
      <c r="A623" t="s">
        <v>143</v>
      </c>
      <c r="B623" t="s">
        <v>56</v>
      </c>
      <c r="C623">
        <v>2082</v>
      </c>
      <c r="D623">
        <v>12</v>
      </c>
      <c r="E623">
        <v>9</v>
      </c>
      <c r="F623" t="s">
        <v>61</v>
      </c>
      <c r="G623">
        <v>2518</v>
      </c>
      <c r="H623">
        <v>80</v>
      </c>
      <c r="I623">
        <v>100</v>
      </c>
      <c r="J623">
        <v>90</v>
      </c>
      <c r="K623" t="s">
        <v>58</v>
      </c>
      <c r="L623" t="s">
        <v>58</v>
      </c>
      <c r="M623" t="b">
        <v>0</v>
      </c>
      <c r="N623">
        <v>226620</v>
      </c>
      <c r="O623" t="b">
        <f t="shared" si="18"/>
        <v>1</v>
      </c>
      <c r="P623">
        <v>2518</v>
      </c>
      <c r="Q623">
        <f t="shared" si="19"/>
        <v>0</v>
      </c>
      <c r="R623">
        <v>0</v>
      </c>
      <c r="S623">
        <v>10</v>
      </c>
      <c r="T623" t="b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2168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350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</row>
    <row r="624" spans="1:56" x14ac:dyDescent="0.3">
      <c r="A624" t="s">
        <v>143</v>
      </c>
      <c r="B624" t="s">
        <v>56</v>
      </c>
      <c r="C624">
        <v>2083</v>
      </c>
      <c r="D624">
        <v>1</v>
      </c>
      <c r="E624">
        <v>10</v>
      </c>
      <c r="F624" t="s">
        <v>62</v>
      </c>
      <c r="G624">
        <v>2260</v>
      </c>
      <c r="H624">
        <v>80</v>
      </c>
      <c r="I624">
        <v>100</v>
      </c>
      <c r="J624">
        <v>90</v>
      </c>
      <c r="K624" t="s">
        <v>58</v>
      </c>
      <c r="L624" t="s">
        <v>58</v>
      </c>
      <c r="M624" t="b">
        <v>0</v>
      </c>
      <c r="N624">
        <v>203400</v>
      </c>
      <c r="O624" t="b">
        <f t="shared" si="18"/>
        <v>1</v>
      </c>
      <c r="P624">
        <v>2260</v>
      </c>
      <c r="Q624">
        <f t="shared" si="19"/>
        <v>0</v>
      </c>
      <c r="R624">
        <v>0</v>
      </c>
      <c r="S624">
        <v>10</v>
      </c>
      <c r="T624" t="b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2260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</row>
    <row r="625" spans="1:56" x14ac:dyDescent="0.3">
      <c r="A625" t="s">
        <v>144</v>
      </c>
      <c r="B625" t="s">
        <v>56</v>
      </c>
      <c r="C625">
        <v>2082</v>
      </c>
      <c r="D625">
        <v>4</v>
      </c>
      <c r="E625">
        <v>1</v>
      </c>
      <c r="F625" t="s">
        <v>70</v>
      </c>
      <c r="G625">
        <v>187558</v>
      </c>
      <c r="H625">
        <v>50</v>
      </c>
      <c r="I625">
        <v>70</v>
      </c>
      <c r="J625">
        <v>55.4</v>
      </c>
      <c r="K625" t="s">
        <v>58</v>
      </c>
      <c r="L625" t="s">
        <v>58</v>
      </c>
      <c r="M625" t="b">
        <v>0</v>
      </c>
      <c r="N625">
        <v>10390713.199999999</v>
      </c>
      <c r="O625" t="b">
        <f t="shared" si="18"/>
        <v>1</v>
      </c>
      <c r="P625">
        <v>187558</v>
      </c>
      <c r="Q625">
        <f t="shared" si="19"/>
        <v>0</v>
      </c>
      <c r="R625">
        <v>0</v>
      </c>
      <c r="S625">
        <v>10</v>
      </c>
      <c r="T625" t="b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177120</v>
      </c>
      <c r="AE625">
        <v>0</v>
      </c>
      <c r="AF625">
        <v>0</v>
      </c>
      <c r="AG625">
        <v>8750</v>
      </c>
      <c r="AH625">
        <v>0</v>
      </c>
      <c r="AI625">
        <v>0</v>
      </c>
      <c r="AJ625">
        <v>0</v>
      </c>
      <c r="AK625">
        <v>1688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</row>
    <row r="626" spans="1:56" x14ac:dyDescent="0.3">
      <c r="A626" t="s">
        <v>144</v>
      </c>
      <c r="B626" t="s">
        <v>56</v>
      </c>
      <c r="C626">
        <v>2082</v>
      </c>
      <c r="D626">
        <v>5</v>
      </c>
      <c r="E626">
        <v>2</v>
      </c>
      <c r="F626" t="s">
        <v>65</v>
      </c>
      <c r="G626">
        <v>114650</v>
      </c>
      <c r="H626">
        <v>30</v>
      </c>
      <c r="I626">
        <v>70</v>
      </c>
      <c r="J626">
        <v>50.83</v>
      </c>
      <c r="K626" t="s">
        <v>58</v>
      </c>
      <c r="L626" t="s">
        <v>58</v>
      </c>
      <c r="M626" t="b">
        <v>0</v>
      </c>
      <c r="N626">
        <v>5827659.5</v>
      </c>
      <c r="O626" t="b">
        <f t="shared" si="18"/>
        <v>1</v>
      </c>
      <c r="P626">
        <v>114650</v>
      </c>
      <c r="Q626">
        <f t="shared" si="19"/>
        <v>0</v>
      </c>
      <c r="R626">
        <v>0</v>
      </c>
      <c r="S626">
        <v>10</v>
      </c>
      <c r="T626" t="b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114650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</row>
    <row r="627" spans="1:56" x14ac:dyDescent="0.3">
      <c r="A627" t="s">
        <v>144</v>
      </c>
      <c r="B627" t="s">
        <v>56</v>
      </c>
      <c r="C627">
        <v>2082</v>
      </c>
      <c r="D627">
        <v>6</v>
      </c>
      <c r="E627">
        <v>3</v>
      </c>
      <c r="F627" t="s">
        <v>66</v>
      </c>
      <c r="G627">
        <v>96026</v>
      </c>
      <c r="H627">
        <v>60</v>
      </c>
      <c r="I627">
        <v>120</v>
      </c>
      <c r="J627">
        <v>91.56</v>
      </c>
      <c r="K627" t="s">
        <v>58</v>
      </c>
      <c r="L627" t="s">
        <v>58</v>
      </c>
      <c r="M627" t="b">
        <v>0</v>
      </c>
      <c r="N627">
        <v>8792140.5600000005</v>
      </c>
      <c r="O627" t="b">
        <f t="shared" si="18"/>
        <v>1</v>
      </c>
      <c r="P627">
        <v>96026</v>
      </c>
      <c r="Q627">
        <f t="shared" si="19"/>
        <v>0</v>
      </c>
      <c r="R627">
        <v>0</v>
      </c>
      <c r="S627">
        <v>10</v>
      </c>
      <c r="T627" t="b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90182</v>
      </c>
      <c r="AE627">
        <v>0</v>
      </c>
      <c r="AF627">
        <v>0</v>
      </c>
      <c r="AG627">
        <v>800</v>
      </c>
      <c r="AH627">
        <v>0</v>
      </c>
      <c r="AI627">
        <v>0</v>
      </c>
      <c r="AJ627">
        <v>0</v>
      </c>
      <c r="AK627">
        <v>1394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3650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</row>
    <row r="628" spans="1:56" x14ac:dyDescent="0.3">
      <c r="A628" t="s">
        <v>144</v>
      </c>
      <c r="B628" t="s">
        <v>56</v>
      </c>
      <c r="C628">
        <v>2082</v>
      </c>
      <c r="D628">
        <v>7</v>
      </c>
      <c r="E628">
        <v>4</v>
      </c>
      <c r="F628" t="s">
        <v>67</v>
      </c>
      <c r="G628">
        <v>164370</v>
      </c>
      <c r="H628">
        <v>60</v>
      </c>
      <c r="I628">
        <v>120</v>
      </c>
      <c r="J628">
        <v>84.74</v>
      </c>
      <c r="K628" t="s">
        <v>58</v>
      </c>
      <c r="L628" t="s">
        <v>58</v>
      </c>
      <c r="M628" t="b">
        <v>0</v>
      </c>
      <c r="N628">
        <v>13928713.7999999</v>
      </c>
      <c r="O628" t="b">
        <f t="shared" si="18"/>
        <v>1</v>
      </c>
      <c r="P628">
        <v>164370</v>
      </c>
      <c r="Q628">
        <f t="shared" si="19"/>
        <v>0</v>
      </c>
      <c r="R628">
        <v>0</v>
      </c>
      <c r="S628">
        <v>10</v>
      </c>
      <c r="T628" t="b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14410</v>
      </c>
      <c r="AC628">
        <v>0</v>
      </c>
      <c r="AD628">
        <v>115645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20300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10765</v>
      </c>
      <c r="AR628">
        <v>0</v>
      </c>
      <c r="AS628">
        <v>3250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</row>
    <row r="629" spans="1:56" x14ac:dyDescent="0.3">
      <c r="A629" t="s">
        <v>144</v>
      </c>
      <c r="B629" t="s">
        <v>56</v>
      </c>
      <c r="C629">
        <v>2082</v>
      </c>
      <c r="D629">
        <v>8</v>
      </c>
      <c r="E629">
        <v>5</v>
      </c>
      <c r="F629" t="s">
        <v>68</v>
      </c>
      <c r="G629">
        <v>230586</v>
      </c>
      <c r="H629">
        <v>40</v>
      </c>
      <c r="I629">
        <v>90</v>
      </c>
      <c r="J629">
        <v>66.84</v>
      </c>
      <c r="K629" t="s">
        <v>58</v>
      </c>
      <c r="L629" t="s">
        <v>58</v>
      </c>
      <c r="M629" t="b">
        <v>0</v>
      </c>
      <c r="N629">
        <v>15412368.24</v>
      </c>
      <c r="O629" t="b">
        <f t="shared" si="18"/>
        <v>1</v>
      </c>
      <c r="P629">
        <v>230586</v>
      </c>
      <c r="Q629">
        <f t="shared" si="19"/>
        <v>0</v>
      </c>
      <c r="R629">
        <v>5.9804151162689799E-2</v>
      </c>
      <c r="S629">
        <v>10</v>
      </c>
      <c r="T629" t="b">
        <v>1</v>
      </c>
      <c r="U629">
        <v>0</v>
      </c>
      <c r="V629">
        <v>0</v>
      </c>
      <c r="W629">
        <v>0</v>
      </c>
      <c r="X629">
        <v>0</v>
      </c>
      <c r="Y629">
        <v>11335</v>
      </c>
      <c r="Z629">
        <v>0</v>
      </c>
      <c r="AA629">
        <v>0</v>
      </c>
      <c r="AB629">
        <v>38480</v>
      </c>
      <c r="AC629">
        <v>0</v>
      </c>
      <c r="AD629">
        <v>31675</v>
      </c>
      <c r="AE629">
        <v>13790</v>
      </c>
      <c r="AF629">
        <v>0</v>
      </c>
      <c r="AG629">
        <v>4520</v>
      </c>
      <c r="AH629">
        <v>0</v>
      </c>
      <c r="AI629">
        <v>0</v>
      </c>
      <c r="AJ629">
        <v>0</v>
      </c>
      <c r="AK629">
        <v>40390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77891</v>
      </c>
      <c r="AR629">
        <v>0</v>
      </c>
      <c r="AS629">
        <v>12185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320</v>
      </c>
    </row>
    <row r="630" spans="1:56" x14ac:dyDescent="0.3">
      <c r="A630" t="s">
        <v>144</v>
      </c>
      <c r="B630" t="s">
        <v>56</v>
      </c>
      <c r="C630">
        <v>2082</v>
      </c>
      <c r="D630">
        <v>9</v>
      </c>
      <c r="E630">
        <v>6</v>
      </c>
      <c r="F630" t="s">
        <v>57</v>
      </c>
      <c r="G630">
        <v>329939</v>
      </c>
      <c r="H630">
        <v>25</v>
      </c>
      <c r="I630">
        <v>35</v>
      </c>
      <c r="J630">
        <v>30</v>
      </c>
      <c r="K630" t="s">
        <v>58</v>
      </c>
      <c r="L630" t="s">
        <v>58</v>
      </c>
      <c r="M630" t="b">
        <v>0</v>
      </c>
      <c r="N630">
        <v>9898170</v>
      </c>
      <c r="O630" t="b">
        <f t="shared" si="18"/>
        <v>1</v>
      </c>
      <c r="P630">
        <v>329939</v>
      </c>
      <c r="Q630">
        <f t="shared" si="19"/>
        <v>0</v>
      </c>
      <c r="R630">
        <v>6.4860474208868896E-3</v>
      </c>
      <c r="S630">
        <v>10</v>
      </c>
      <c r="T630" t="b">
        <v>1</v>
      </c>
      <c r="U630">
        <v>0</v>
      </c>
      <c r="V630">
        <v>0</v>
      </c>
      <c r="W630">
        <v>0</v>
      </c>
      <c r="X630">
        <v>0</v>
      </c>
      <c r="Y630">
        <v>16635</v>
      </c>
      <c r="Z630">
        <v>0</v>
      </c>
      <c r="AA630">
        <v>0</v>
      </c>
      <c r="AB630">
        <v>13555</v>
      </c>
      <c r="AC630">
        <v>0</v>
      </c>
      <c r="AD630">
        <v>0</v>
      </c>
      <c r="AE630">
        <v>2140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80745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213624</v>
      </c>
      <c r="AR630">
        <v>0</v>
      </c>
      <c r="AS630">
        <v>3240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</row>
    <row r="631" spans="1:56" x14ac:dyDescent="0.3">
      <c r="A631" t="s">
        <v>144</v>
      </c>
      <c r="B631" t="s">
        <v>56</v>
      </c>
      <c r="C631">
        <v>2082</v>
      </c>
      <c r="D631">
        <v>10</v>
      </c>
      <c r="E631">
        <v>7</v>
      </c>
      <c r="F631" t="s">
        <v>59</v>
      </c>
      <c r="G631">
        <v>228884</v>
      </c>
      <c r="H631">
        <v>20</v>
      </c>
      <c r="I631">
        <v>35</v>
      </c>
      <c r="J631">
        <v>26.36</v>
      </c>
      <c r="K631" t="s">
        <v>58</v>
      </c>
      <c r="L631" t="s">
        <v>58</v>
      </c>
      <c r="M631" t="b">
        <v>0</v>
      </c>
      <c r="N631">
        <v>6033382.2400000002</v>
      </c>
      <c r="O631" t="b">
        <f t="shared" si="18"/>
        <v>1</v>
      </c>
      <c r="P631">
        <v>228884</v>
      </c>
      <c r="Q631">
        <f t="shared" si="19"/>
        <v>0</v>
      </c>
      <c r="R631">
        <v>0</v>
      </c>
      <c r="S631">
        <v>10</v>
      </c>
      <c r="T631" t="b">
        <v>1</v>
      </c>
      <c r="U631">
        <v>0</v>
      </c>
      <c r="V631">
        <v>0</v>
      </c>
      <c r="W631">
        <v>0</v>
      </c>
      <c r="X631">
        <v>0</v>
      </c>
      <c r="Y631">
        <v>17460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74749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136675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</row>
    <row r="632" spans="1:56" x14ac:dyDescent="0.3">
      <c r="A632" t="s">
        <v>144</v>
      </c>
      <c r="B632" t="s">
        <v>56</v>
      </c>
      <c r="C632">
        <v>2082</v>
      </c>
      <c r="D632">
        <v>11</v>
      </c>
      <c r="E632">
        <v>8</v>
      </c>
      <c r="F632" t="s">
        <v>60</v>
      </c>
      <c r="G632">
        <v>223585</v>
      </c>
      <c r="H632">
        <v>0</v>
      </c>
      <c r="I632">
        <v>0</v>
      </c>
      <c r="J632">
        <v>26.81</v>
      </c>
      <c r="K632" t="s">
        <v>58</v>
      </c>
      <c r="L632" t="s">
        <v>58</v>
      </c>
      <c r="M632" t="b">
        <v>0</v>
      </c>
      <c r="N632">
        <v>5994313.8499999996</v>
      </c>
      <c r="O632" t="b">
        <f t="shared" si="18"/>
        <v>1</v>
      </c>
      <c r="P632">
        <v>223585</v>
      </c>
      <c r="Q632">
        <f t="shared" si="19"/>
        <v>0</v>
      </c>
      <c r="R632">
        <v>0</v>
      </c>
      <c r="S632">
        <v>10</v>
      </c>
      <c r="T632" t="b">
        <v>1</v>
      </c>
      <c r="U632">
        <v>0</v>
      </c>
      <c r="V632">
        <v>0</v>
      </c>
      <c r="W632">
        <v>0</v>
      </c>
      <c r="X632">
        <v>0</v>
      </c>
      <c r="Y632">
        <v>14970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18730</v>
      </c>
      <c r="AH632">
        <v>0</v>
      </c>
      <c r="AI632">
        <v>0</v>
      </c>
      <c r="AJ632">
        <v>0</v>
      </c>
      <c r="AK632">
        <v>74755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115130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</row>
    <row r="633" spans="1:56" x14ac:dyDescent="0.3">
      <c r="A633" t="s">
        <v>144</v>
      </c>
      <c r="B633" t="s">
        <v>56</v>
      </c>
      <c r="C633">
        <v>2082</v>
      </c>
      <c r="D633">
        <v>12</v>
      </c>
      <c r="E633">
        <v>9</v>
      </c>
      <c r="F633" t="s">
        <v>61</v>
      </c>
      <c r="G633">
        <v>340255</v>
      </c>
      <c r="H633">
        <v>30</v>
      </c>
      <c r="I633">
        <v>70</v>
      </c>
      <c r="J633">
        <v>46.48</v>
      </c>
      <c r="K633" t="s">
        <v>58</v>
      </c>
      <c r="L633" t="s">
        <v>58</v>
      </c>
      <c r="M633" t="b">
        <v>0</v>
      </c>
      <c r="N633">
        <v>15815052.4</v>
      </c>
      <c r="O633" t="b">
        <f t="shared" si="18"/>
        <v>1</v>
      </c>
      <c r="P633">
        <v>340255</v>
      </c>
      <c r="Q633">
        <f t="shared" si="19"/>
        <v>0</v>
      </c>
      <c r="R633">
        <v>3.6119968846894203E-2</v>
      </c>
      <c r="S633">
        <v>10</v>
      </c>
      <c r="T633" t="b">
        <v>1</v>
      </c>
      <c r="U633">
        <v>0</v>
      </c>
      <c r="V633">
        <v>0</v>
      </c>
      <c r="W633">
        <v>0</v>
      </c>
      <c r="X633">
        <v>0</v>
      </c>
      <c r="Y633">
        <v>2240</v>
      </c>
      <c r="Z633">
        <v>0</v>
      </c>
      <c r="AA633">
        <v>0</v>
      </c>
      <c r="AB633">
        <v>0</v>
      </c>
      <c r="AC633">
        <v>0</v>
      </c>
      <c r="AD633">
        <v>29165</v>
      </c>
      <c r="AE633">
        <v>12290</v>
      </c>
      <c r="AF633">
        <v>0</v>
      </c>
      <c r="AG633">
        <v>149600</v>
      </c>
      <c r="AH633">
        <v>0</v>
      </c>
      <c r="AI633">
        <v>0</v>
      </c>
      <c r="AJ633">
        <v>0</v>
      </c>
      <c r="AK633">
        <v>87885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59075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</row>
    <row r="634" spans="1:56" x14ac:dyDescent="0.3">
      <c r="A634" t="s">
        <v>144</v>
      </c>
      <c r="B634" t="s">
        <v>56</v>
      </c>
      <c r="C634">
        <v>2083</v>
      </c>
      <c r="D634">
        <v>1</v>
      </c>
      <c r="E634">
        <v>10</v>
      </c>
      <c r="F634" t="s">
        <v>62</v>
      </c>
      <c r="G634">
        <v>177618</v>
      </c>
      <c r="H634">
        <v>30</v>
      </c>
      <c r="I634">
        <v>50</v>
      </c>
      <c r="J634">
        <v>42.28</v>
      </c>
      <c r="K634" t="s">
        <v>58</v>
      </c>
      <c r="L634" t="s">
        <v>58</v>
      </c>
      <c r="M634" t="b">
        <v>0</v>
      </c>
      <c r="N634">
        <v>7509689.04</v>
      </c>
      <c r="O634" t="b">
        <f t="shared" si="18"/>
        <v>1</v>
      </c>
      <c r="P634">
        <v>177618</v>
      </c>
      <c r="Q634">
        <f t="shared" si="19"/>
        <v>0</v>
      </c>
      <c r="R634">
        <v>0</v>
      </c>
      <c r="S634">
        <v>10</v>
      </c>
      <c r="T634" t="b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5540</v>
      </c>
      <c r="AD634">
        <v>90120</v>
      </c>
      <c r="AE634">
        <v>0</v>
      </c>
      <c r="AF634">
        <v>0</v>
      </c>
      <c r="AG634">
        <v>23620</v>
      </c>
      <c r="AH634">
        <v>0</v>
      </c>
      <c r="AI634">
        <v>0</v>
      </c>
      <c r="AJ634">
        <v>0</v>
      </c>
      <c r="AK634">
        <v>49218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9120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</row>
    <row r="635" spans="1:56" x14ac:dyDescent="0.3">
      <c r="A635" t="s">
        <v>145</v>
      </c>
      <c r="B635" t="s">
        <v>56</v>
      </c>
      <c r="C635">
        <v>2082</v>
      </c>
      <c r="D635">
        <v>5</v>
      </c>
      <c r="E635">
        <v>2</v>
      </c>
      <c r="F635" t="s">
        <v>65</v>
      </c>
      <c r="G635">
        <v>540</v>
      </c>
      <c r="H635">
        <v>0</v>
      </c>
      <c r="I635">
        <v>0</v>
      </c>
      <c r="J635">
        <v>150</v>
      </c>
      <c r="K635" t="s">
        <v>58</v>
      </c>
      <c r="L635" t="s">
        <v>58</v>
      </c>
      <c r="M635" t="b">
        <v>0</v>
      </c>
      <c r="N635">
        <v>81000</v>
      </c>
      <c r="O635" t="b">
        <f t="shared" si="18"/>
        <v>1</v>
      </c>
      <c r="P635">
        <v>540</v>
      </c>
      <c r="Q635">
        <f t="shared" si="19"/>
        <v>0</v>
      </c>
      <c r="R635">
        <v>0</v>
      </c>
      <c r="S635">
        <v>9</v>
      </c>
      <c r="T635" t="b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540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</row>
    <row r="636" spans="1:56" x14ac:dyDescent="0.3">
      <c r="A636" t="s">
        <v>145</v>
      </c>
      <c r="B636" t="s">
        <v>56</v>
      </c>
      <c r="C636">
        <v>2082</v>
      </c>
      <c r="D636">
        <v>6</v>
      </c>
      <c r="E636">
        <v>3</v>
      </c>
      <c r="F636" t="s">
        <v>66</v>
      </c>
      <c r="G636">
        <v>4620</v>
      </c>
      <c r="H636">
        <v>280</v>
      </c>
      <c r="I636">
        <v>300</v>
      </c>
      <c r="J636">
        <v>290</v>
      </c>
      <c r="K636" t="s">
        <v>58</v>
      </c>
      <c r="L636" t="s">
        <v>58</v>
      </c>
      <c r="M636" t="b">
        <v>0</v>
      </c>
      <c r="N636">
        <v>1339800</v>
      </c>
      <c r="O636" t="b">
        <f t="shared" si="18"/>
        <v>1</v>
      </c>
      <c r="P636">
        <v>4620</v>
      </c>
      <c r="Q636">
        <f t="shared" si="19"/>
        <v>0</v>
      </c>
      <c r="R636">
        <v>0</v>
      </c>
      <c r="S636">
        <v>9</v>
      </c>
      <c r="T636" t="b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2830</v>
      </c>
      <c r="AC636">
        <v>120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1670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</row>
    <row r="637" spans="1:56" x14ac:dyDescent="0.3">
      <c r="A637" t="s">
        <v>145</v>
      </c>
      <c r="B637" t="s">
        <v>56</v>
      </c>
      <c r="C637">
        <v>2082</v>
      </c>
      <c r="D637">
        <v>7</v>
      </c>
      <c r="E637">
        <v>4</v>
      </c>
      <c r="F637" t="s">
        <v>67</v>
      </c>
      <c r="G637">
        <v>32065</v>
      </c>
      <c r="H637">
        <v>200</v>
      </c>
      <c r="I637">
        <v>300</v>
      </c>
      <c r="J637">
        <v>270.26</v>
      </c>
      <c r="K637" t="s">
        <v>58</v>
      </c>
      <c r="L637" t="s">
        <v>58</v>
      </c>
      <c r="M637" t="b">
        <v>0</v>
      </c>
      <c r="N637">
        <v>8665886.9000000004</v>
      </c>
      <c r="O637" t="b">
        <f t="shared" si="18"/>
        <v>1</v>
      </c>
      <c r="P637">
        <v>32065</v>
      </c>
      <c r="Q637">
        <f t="shared" si="19"/>
        <v>0</v>
      </c>
      <c r="R637">
        <v>0</v>
      </c>
      <c r="S637">
        <v>9</v>
      </c>
      <c r="T637" t="b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21105</v>
      </c>
      <c r="AC637">
        <v>210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10750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</row>
    <row r="638" spans="1:56" x14ac:dyDescent="0.3">
      <c r="A638" t="s">
        <v>145</v>
      </c>
      <c r="B638" t="s">
        <v>56</v>
      </c>
      <c r="C638">
        <v>2082</v>
      </c>
      <c r="D638">
        <v>8</v>
      </c>
      <c r="E638">
        <v>5</v>
      </c>
      <c r="F638" t="s">
        <v>68</v>
      </c>
      <c r="G638">
        <v>42760</v>
      </c>
      <c r="H638">
        <v>200</v>
      </c>
      <c r="I638">
        <v>280</v>
      </c>
      <c r="J638">
        <v>218.42</v>
      </c>
      <c r="K638" t="s">
        <v>58</v>
      </c>
      <c r="L638" t="s">
        <v>58</v>
      </c>
      <c r="M638" t="b">
        <v>0</v>
      </c>
      <c r="N638">
        <v>9339639.1999999993</v>
      </c>
      <c r="O638" t="b">
        <f t="shared" si="18"/>
        <v>1</v>
      </c>
      <c r="P638">
        <v>42760</v>
      </c>
      <c r="Q638">
        <f t="shared" si="19"/>
        <v>0</v>
      </c>
      <c r="R638">
        <v>0</v>
      </c>
      <c r="S638">
        <v>9</v>
      </c>
      <c r="T638" t="b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25550</v>
      </c>
      <c r="AC638">
        <v>320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16890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</row>
    <row r="639" spans="1:56" x14ac:dyDescent="0.3">
      <c r="A639" t="s">
        <v>145</v>
      </c>
      <c r="B639" t="s">
        <v>56</v>
      </c>
      <c r="C639">
        <v>2082</v>
      </c>
      <c r="D639">
        <v>9</v>
      </c>
      <c r="E639">
        <v>6</v>
      </c>
      <c r="F639" t="s">
        <v>57</v>
      </c>
      <c r="G639">
        <v>28064</v>
      </c>
      <c r="H639">
        <v>180</v>
      </c>
      <c r="I639">
        <v>250</v>
      </c>
      <c r="J639">
        <v>191.59</v>
      </c>
      <c r="K639" t="s">
        <v>58</v>
      </c>
      <c r="L639" t="s">
        <v>58</v>
      </c>
      <c r="M639" t="b">
        <v>0</v>
      </c>
      <c r="N639">
        <v>5376781.7599999998</v>
      </c>
      <c r="O639" t="b">
        <f t="shared" si="18"/>
        <v>0</v>
      </c>
      <c r="P639">
        <v>177754</v>
      </c>
      <c r="Q639">
        <f t="shared" si="19"/>
        <v>149690</v>
      </c>
      <c r="R639">
        <v>0</v>
      </c>
      <c r="S639">
        <v>9</v>
      </c>
      <c r="T639" t="b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11429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166325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</row>
    <row r="640" spans="1:56" x14ac:dyDescent="0.3">
      <c r="A640" t="s">
        <v>145</v>
      </c>
      <c r="B640" t="s">
        <v>56</v>
      </c>
      <c r="C640">
        <v>2082</v>
      </c>
      <c r="D640">
        <v>10</v>
      </c>
      <c r="E640">
        <v>7</v>
      </c>
      <c r="F640" t="s">
        <v>59</v>
      </c>
      <c r="G640">
        <v>29855</v>
      </c>
      <c r="H640">
        <v>100</v>
      </c>
      <c r="I640">
        <v>200</v>
      </c>
      <c r="J640">
        <v>172.57</v>
      </c>
      <c r="K640" t="s">
        <v>58</v>
      </c>
      <c r="L640" t="s">
        <v>58</v>
      </c>
      <c r="M640" t="b">
        <v>0</v>
      </c>
      <c r="N640">
        <v>5152077.3499999996</v>
      </c>
      <c r="O640" t="b">
        <f t="shared" si="18"/>
        <v>1</v>
      </c>
      <c r="P640">
        <v>29855</v>
      </c>
      <c r="Q640">
        <f t="shared" si="19"/>
        <v>0</v>
      </c>
      <c r="R640">
        <v>9.3116730865851594E-2</v>
      </c>
      <c r="S640">
        <v>9</v>
      </c>
      <c r="T640" t="b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6540</v>
      </c>
      <c r="AC640">
        <v>0</v>
      </c>
      <c r="AD640">
        <v>0</v>
      </c>
      <c r="AE640">
        <v>2780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6450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14085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</row>
    <row r="641" spans="1:56" x14ac:dyDescent="0.3">
      <c r="A641" t="s">
        <v>145</v>
      </c>
      <c r="B641" t="s">
        <v>56</v>
      </c>
      <c r="C641">
        <v>2082</v>
      </c>
      <c r="D641">
        <v>11</v>
      </c>
      <c r="E641">
        <v>8</v>
      </c>
      <c r="F641" t="s">
        <v>60</v>
      </c>
      <c r="G641">
        <v>26010</v>
      </c>
      <c r="H641">
        <v>100</v>
      </c>
      <c r="I641">
        <v>180</v>
      </c>
      <c r="J641">
        <v>147.22</v>
      </c>
      <c r="K641" t="s">
        <v>58</v>
      </c>
      <c r="L641" t="s">
        <v>58</v>
      </c>
      <c r="M641" t="b">
        <v>0</v>
      </c>
      <c r="N641">
        <v>3829192.2</v>
      </c>
      <c r="O641" t="b">
        <f t="shared" si="18"/>
        <v>1</v>
      </c>
      <c r="P641">
        <v>26010</v>
      </c>
      <c r="Q641">
        <f t="shared" si="19"/>
        <v>0</v>
      </c>
      <c r="R641">
        <v>0.27912341407151098</v>
      </c>
      <c r="S641">
        <v>9</v>
      </c>
      <c r="T641" t="b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2980</v>
      </c>
      <c r="AC641">
        <v>0</v>
      </c>
      <c r="AD641">
        <v>0</v>
      </c>
      <c r="AE641">
        <v>7260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15770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</row>
    <row r="642" spans="1:56" x14ac:dyDescent="0.3">
      <c r="A642" t="s">
        <v>145</v>
      </c>
      <c r="B642" t="s">
        <v>56</v>
      </c>
      <c r="C642">
        <v>2082</v>
      </c>
      <c r="D642">
        <v>12</v>
      </c>
      <c r="E642">
        <v>9</v>
      </c>
      <c r="F642" t="s">
        <v>61</v>
      </c>
      <c r="G642">
        <v>54655</v>
      </c>
      <c r="H642">
        <v>100</v>
      </c>
      <c r="I642">
        <v>150</v>
      </c>
      <c r="J642">
        <v>135.83000000000001</v>
      </c>
      <c r="K642" t="s">
        <v>58</v>
      </c>
      <c r="L642" t="s">
        <v>58</v>
      </c>
      <c r="M642" t="b">
        <v>0</v>
      </c>
      <c r="N642">
        <v>7423788.6500000004</v>
      </c>
      <c r="O642" t="b">
        <f t="shared" ref="O642:O705" si="20">IF(P642=G642,TRUE,FALSE)</f>
        <v>1</v>
      </c>
      <c r="P642">
        <v>54655</v>
      </c>
      <c r="Q642">
        <f t="shared" si="19"/>
        <v>0</v>
      </c>
      <c r="R642">
        <v>0.30299149208672499</v>
      </c>
      <c r="S642">
        <v>9</v>
      </c>
      <c r="T642" t="b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14630</v>
      </c>
      <c r="AC642">
        <v>0</v>
      </c>
      <c r="AD642">
        <v>0</v>
      </c>
      <c r="AE642">
        <v>16560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23465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</row>
    <row r="643" spans="1:56" x14ac:dyDescent="0.3">
      <c r="A643" t="s">
        <v>145</v>
      </c>
      <c r="B643" t="s">
        <v>56</v>
      </c>
      <c r="C643">
        <v>2083</v>
      </c>
      <c r="D643">
        <v>1</v>
      </c>
      <c r="E643">
        <v>10</v>
      </c>
      <c r="F643" t="s">
        <v>62</v>
      </c>
      <c r="G643">
        <v>12025</v>
      </c>
      <c r="H643">
        <v>0</v>
      </c>
      <c r="I643">
        <v>0</v>
      </c>
      <c r="J643">
        <v>124.6</v>
      </c>
      <c r="K643" t="s">
        <v>58</v>
      </c>
      <c r="L643" t="s">
        <v>58</v>
      </c>
      <c r="M643" t="b">
        <v>0</v>
      </c>
      <c r="N643">
        <v>1498315</v>
      </c>
      <c r="O643" t="b">
        <f t="shared" si="20"/>
        <v>1</v>
      </c>
      <c r="P643">
        <v>12025</v>
      </c>
      <c r="Q643">
        <f t="shared" si="19"/>
        <v>0</v>
      </c>
      <c r="R643">
        <v>0</v>
      </c>
      <c r="S643">
        <v>9</v>
      </c>
      <c r="T643" t="b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5530</v>
      </c>
      <c r="AC643">
        <v>0</v>
      </c>
      <c r="AD643">
        <v>0</v>
      </c>
      <c r="AE643">
        <v>0</v>
      </c>
      <c r="AF643">
        <v>0</v>
      </c>
      <c r="AG643">
        <v>420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6075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</row>
    <row r="644" spans="1:56" x14ac:dyDescent="0.3">
      <c r="A644" t="s">
        <v>146</v>
      </c>
      <c r="B644" t="s">
        <v>64</v>
      </c>
      <c r="C644">
        <v>2082</v>
      </c>
      <c r="D644">
        <v>4</v>
      </c>
      <c r="E644">
        <v>1</v>
      </c>
      <c r="F644" t="s">
        <v>70</v>
      </c>
      <c r="G644">
        <v>3770</v>
      </c>
      <c r="H644">
        <v>260</v>
      </c>
      <c r="I644">
        <v>500</v>
      </c>
      <c r="J644">
        <v>334.8</v>
      </c>
      <c r="K644" t="s">
        <v>58</v>
      </c>
      <c r="L644" t="s">
        <v>58</v>
      </c>
      <c r="M644" t="b">
        <v>0</v>
      </c>
      <c r="N644">
        <v>1262196</v>
      </c>
      <c r="O644" t="b">
        <f t="shared" si="20"/>
        <v>1</v>
      </c>
      <c r="P644">
        <v>3770</v>
      </c>
      <c r="Q644">
        <f t="shared" si="19"/>
        <v>0</v>
      </c>
      <c r="R644">
        <v>1</v>
      </c>
      <c r="S644">
        <v>8</v>
      </c>
      <c r="T644" t="b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3770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</row>
    <row r="645" spans="1:56" x14ac:dyDescent="0.3">
      <c r="A645" t="s">
        <v>146</v>
      </c>
      <c r="B645" t="s">
        <v>64</v>
      </c>
      <c r="C645">
        <v>2082</v>
      </c>
      <c r="D645">
        <v>5</v>
      </c>
      <c r="E645">
        <v>2</v>
      </c>
      <c r="F645" t="s">
        <v>65</v>
      </c>
      <c r="G645">
        <v>3200</v>
      </c>
      <c r="H645">
        <v>260</v>
      </c>
      <c r="I645">
        <v>500</v>
      </c>
      <c r="J645">
        <v>295</v>
      </c>
      <c r="K645" t="s">
        <v>58</v>
      </c>
      <c r="L645" t="s">
        <v>58</v>
      </c>
      <c r="M645" t="b">
        <v>0</v>
      </c>
      <c r="N645">
        <v>944000</v>
      </c>
      <c r="O645" t="b">
        <f t="shared" si="20"/>
        <v>1</v>
      </c>
      <c r="P645">
        <v>3200</v>
      </c>
      <c r="Q645">
        <f t="shared" si="19"/>
        <v>0</v>
      </c>
      <c r="R645">
        <v>1</v>
      </c>
      <c r="S645">
        <v>8</v>
      </c>
      <c r="T645" t="b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3200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</row>
    <row r="646" spans="1:56" x14ac:dyDescent="0.3">
      <c r="A646" t="s">
        <v>146</v>
      </c>
      <c r="B646" t="s">
        <v>64</v>
      </c>
      <c r="C646">
        <v>2082</v>
      </c>
      <c r="D646">
        <v>6</v>
      </c>
      <c r="E646">
        <v>3</v>
      </c>
      <c r="F646" t="s">
        <v>66</v>
      </c>
      <c r="G646">
        <v>1870</v>
      </c>
      <c r="H646">
        <v>400</v>
      </c>
      <c r="I646">
        <v>500</v>
      </c>
      <c r="J646">
        <v>450</v>
      </c>
      <c r="K646" t="s">
        <v>58</v>
      </c>
      <c r="L646" t="s">
        <v>58</v>
      </c>
      <c r="M646" t="b">
        <v>0</v>
      </c>
      <c r="N646">
        <v>841500</v>
      </c>
      <c r="O646" t="b">
        <f t="shared" si="20"/>
        <v>1</v>
      </c>
      <c r="P646">
        <v>1870</v>
      </c>
      <c r="Q646">
        <f t="shared" si="19"/>
        <v>0</v>
      </c>
      <c r="R646">
        <v>1</v>
      </c>
      <c r="S646">
        <v>8</v>
      </c>
      <c r="T646" t="b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1870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</row>
    <row r="647" spans="1:56" x14ac:dyDescent="0.3">
      <c r="A647" t="s">
        <v>146</v>
      </c>
      <c r="B647" t="s">
        <v>64</v>
      </c>
      <c r="C647">
        <v>2082</v>
      </c>
      <c r="D647">
        <v>8</v>
      </c>
      <c r="E647">
        <v>5</v>
      </c>
      <c r="F647" t="s">
        <v>68</v>
      </c>
      <c r="G647">
        <v>0</v>
      </c>
      <c r="H647">
        <v>400</v>
      </c>
      <c r="I647">
        <v>500</v>
      </c>
      <c r="J647">
        <v>450</v>
      </c>
      <c r="K647" t="s">
        <v>58</v>
      </c>
      <c r="L647" t="s">
        <v>58</v>
      </c>
      <c r="M647" t="b">
        <v>0</v>
      </c>
      <c r="N647">
        <v>0</v>
      </c>
      <c r="O647" t="b">
        <f t="shared" si="20"/>
        <v>1</v>
      </c>
      <c r="P647">
        <v>0</v>
      </c>
      <c r="Q647">
        <f t="shared" si="19"/>
        <v>0</v>
      </c>
      <c r="S647">
        <v>8</v>
      </c>
      <c r="T647" t="b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</row>
    <row r="648" spans="1:56" x14ac:dyDescent="0.3">
      <c r="A648" t="s">
        <v>146</v>
      </c>
      <c r="B648" t="s">
        <v>64</v>
      </c>
      <c r="C648">
        <v>2082</v>
      </c>
      <c r="D648">
        <v>10</v>
      </c>
      <c r="E648">
        <v>7</v>
      </c>
      <c r="F648" t="s">
        <v>59</v>
      </c>
      <c r="G648">
        <v>0</v>
      </c>
      <c r="H648">
        <v>300</v>
      </c>
      <c r="I648">
        <v>500</v>
      </c>
      <c r="J648">
        <v>446.11</v>
      </c>
      <c r="K648" t="s">
        <v>58</v>
      </c>
      <c r="L648" t="s">
        <v>58</v>
      </c>
      <c r="M648" t="b">
        <v>0</v>
      </c>
      <c r="N648">
        <v>0</v>
      </c>
      <c r="O648" t="b">
        <f t="shared" si="20"/>
        <v>1</v>
      </c>
      <c r="P648">
        <v>0</v>
      </c>
      <c r="Q648">
        <f t="shared" si="19"/>
        <v>0</v>
      </c>
      <c r="S648">
        <v>8</v>
      </c>
      <c r="T648" t="b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</row>
    <row r="649" spans="1:56" x14ac:dyDescent="0.3">
      <c r="A649" t="s">
        <v>146</v>
      </c>
      <c r="B649" t="s">
        <v>64</v>
      </c>
      <c r="C649">
        <v>2082</v>
      </c>
      <c r="D649">
        <v>11</v>
      </c>
      <c r="E649">
        <v>8</v>
      </c>
      <c r="F649" t="s">
        <v>60</v>
      </c>
      <c r="G649">
        <v>0</v>
      </c>
      <c r="H649">
        <v>300</v>
      </c>
      <c r="I649">
        <v>500</v>
      </c>
      <c r="J649">
        <v>442.63</v>
      </c>
      <c r="K649" t="s">
        <v>58</v>
      </c>
      <c r="L649" t="s">
        <v>58</v>
      </c>
      <c r="M649" t="b">
        <v>0</v>
      </c>
      <c r="N649">
        <v>0</v>
      </c>
      <c r="O649" t="b">
        <f t="shared" si="20"/>
        <v>1</v>
      </c>
      <c r="P649">
        <v>0</v>
      </c>
      <c r="Q649">
        <f t="shared" si="19"/>
        <v>0</v>
      </c>
      <c r="S649">
        <v>8</v>
      </c>
      <c r="T649" t="b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</row>
    <row r="650" spans="1:56" x14ac:dyDescent="0.3">
      <c r="A650" t="s">
        <v>146</v>
      </c>
      <c r="B650" t="s">
        <v>64</v>
      </c>
      <c r="C650">
        <v>2082</v>
      </c>
      <c r="D650">
        <v>12</v>
      </c>
      <c r="E650">
        <v>9</v>
      </c>
      <c r="F650" t="s">
        <v>61</v>
      </c>
      <c r="G650">
        <v>0</v>
      </c>
      <c r="H650">
        <v>400</v>
      </c>
      <c r="I650">
        <v>500</v>
      </c>
      <c r="J650">
        <v>450</v>
      </c>
      <c r="K650" t="s">
        <v>58</v>
      </c>
      <c r="L650" t="s">
        <v>58</v>
      </c>
      <c r="M650" t="b">
        <v>0</v>
      </c>
      <c r="N650">
        <v>0</v>
      </c>
      <c r="O650" t="b">
        <f t="shared" si="20"/>
        <v>1</v>
      </c>
      <c r="P650">
        <v>0</v>
      </c>
      <c r="Q650">
        <f t="shared" si="19"/>
        <v>0</v>
      </c>
      <c r="S650">
        <v>8</v>
      </c>
      <c r="T650" t="b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</row>
    <row r="651" spans="1:56" x14ac:dyDescent="0.3">
      <c r="A651" t="s">
        <v>146</v>
      </c>
      <c r="B651" t="s">
        <v>64</v>
      </c>
      <c r="C651">
        <v>2083</v>
      </c>
      <c r="D651">
        <v>1</v>
      </c>
      <c r="E651">
        <v>10</v>
      </c>
      <c r="F651" t="s">
        <v>62</v>
      </c>
      <c r="G651">
        <v>0</v>
      </c>
      <c r="H651">
        <v>400</v>
      </c>
      <c r="I651">
        <v>500</v>
      </c>
      <c r="J651">
        <v>450</v>
      </c>
      <c r="K651" t="s">
        <v>58</v>
      </c>
      <c r="L651" t="s">
        <v>58</v>
      </c>
      <c r="M651" t="b">
        <v>0</v>
      </c>
      <c r="N651">
        <v>0</v>
      </c>
      <c r="O651" t="b">
        <f t="shared" si="20"/>
        <v>1</v>
      </c>
      <c r="P651">
        <v>0</v>
      </c>
      <c r="Q651">
        <f t="shared" si="19"/>
        <v>0</v>
      </c>
      <c r="S651">
        <v>8</v>
      </c>
      <c r="T651" t="b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</row>
    <row r="652" spans="1:56" x14ac:dyDescent="0.3">
      <c r="A652" t="s">
        <v>147</v>
      </c>
      <c r="B652" t="s">
        <v>56</v>
      </c>
      <c r="C652">
        <v>2082</v>
      </c>
      <c r="D652">
        <v>4</v>
      </c>
      <c r="E652">
        <v>1</v>
      </c>
      <c r="F652" t="s">
        <v>70</v>
      </c>
      <c r="G652">
        <v>1055</v>
      </c>
      <c r="H652">
        <v>250</v>
      </c>
      <c r="I652">
        <v>280</v>
      </c>
      <c r="J652">
        <v>265</v>
      </c>
      <c r="K652" t="s">
        <v>58</v>
      </c>
      <c r="L652" t="s">
        <v>58</v>
      </c>
      <c r="M652" t="b">
        <v>0</v>
      </c>
      <c r="N652">
        <v>279575</v>
      </c>
      <c r="O652" t="b">
        <f t="shared" si="20"/>
        <v>1</v>
      </c>
      <c r="P652">
        <v>1055</v>
      </c>
      <c r="Q652">
        <f t="shared" si="19"/>
        <v>0</v>
      </c>
      <c r="R652">
        <v>0.35545023696682398</v>
      </c>
      <c r="S652">
        <v>8</v>
      </c>
      <c r="T652" t="b">
        <v>0</v>
      </c>
      <c r="U652">
        <v>0</v>
      </c>
      <c r="V652">
        <v>0</v>
      </c>
      <c r="W652">
        <v>0</v>
      </c>
      <c r="X652">
        <v>0</v>
      </c>
      <c r="Y652">
        <v>630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375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50</v>
      </c>
      <c r="BA652">
        <v>0</v>
      </c>
      <c r="BB652">
        <v>0</v>
      </c>
      <c r="BC652">
        <v>0</v>
      </c>
      <c r="BD652">
        <v>0</v>
      </c>
    </row>
    <row r="653" spans="1:56" x14ac:dyDescent="0.3">
      <c r="A653" t="s">
        <v>147</v>
      </c>
      <c r="B653" t="s">
        <v>56</v>
      </c>
      <c r="C653">
        <v>2082</v>
      </c>
      <c r="D653">
        <v>5</v>
      </c>
      <c r="E653">
        <v>2</v>
      </c>
      <c r="F653" t="s">
        <v>65</v>
      </c>
      <c r="G653">
        <v>440</v>
      </c>
      <c r="H653">
        <v>200</v>
      </c>
      <c r="I653">
        <v>280</v>
      </c>
      <c r="J653">
        <v>232.5</v>
      </c>
      <c r="K653" t="s">
        <v>58</v>
      </c>
      <c r="L653" t="s">
        <v>58</v>
      </c>
      <c r="M653" t="b">
        <v>0</v>
      </c>
      <c r="N653">
        <v>102300</v>
      </c>
      <c r="O653" t="b">
        <f t="shared" si="20"/>
        <v>1</v>
      </c>
      <c r="P653">
        <v>440</v>
      </c>
      <c r="Q653">
        <f t="shared" si="19"/>
        <v>0</v>
      </c>
      <c r="R653">
        <v>0.75</v>
      </c>
      <c r="S653">
        <v>8</v>
      </c>
      <c r="T653" t="b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330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110</v>
      </c>
      <c r="BA653">
        <v>0</v>
      </c>
      <c r="BB653">
        <v>0</v>
      </c>
      <c r="BC653">
        <v>0</v>
      </c>
      <c r="BD653">
        <v>0</v>
      </c>
    </row>
    <row r="654" spans="1:56" x14ac:dyDescent="0.3">
      <c r="A654" t="s">
        <v>147</v>
      </c>
      <c r="B654" t="s">
        <v>56</v>
      </c>
      <c r="C654">
        <v>2082</v>
      </c>
      <c r="D654">
        <v>6</v>
      </c>
      <c r="E654">
        <v>3</v>
      </c>
      <c r="F654" t="s">
        <v>66</v>
      </c>
      <c r="G654">
        <v>0</v>
      </c>
      <c r="H654">
        <v>250</v>
      </c>
      <c r="I654">
        <v>280</v>
      </c>
      <c r="J654">
        <v>265</v>
      </c>
      <c r="K654" t="s">
        <v>58</v>
      </c>
      <c r="L654" t="s">
        <v>58</v>
      </c>
      <c r="M654" t="b">
        <v>0</v>
      </c>
      <c r="N654">
        <v>0</v>
      </c>
      <c r="O654" t="b">
        <f t="shared" si="20"/>
        <v>1</v>
      </c>
      <c r="P654">
        <v>0</v>
      </c>
      <c r="Q654">
        <f t="shared" ref="Q654:Q717" si="21">ABS(P654-G654)</f>
        <v>0</v>
      </c>
      <c r="S654">
        <v>8</v>
      </c>
      <c r="T654" t="b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</row>
    <row r="655" spans="1:56" x14ac:dyDescent="0.3">
      <c r="A655" t="s">
        <v>147</v>
      </c>
      <c r="B655" t="s">
        <v>56</v>
      </c>
      <c r="C655">
        <v>2082</v>
      </c>
      <c r="D655">
        <v>8</v>
      </c>
      <c r="E655">
        <v>5</v>
      </c>
      <c r="F655" t="s">
        <v>68</v>
      </c>
      <c r="G655">
        <v>84</v>
      </c>
      <c r="H655">
        <v>250</v>
      </c>
      <c r="I655">
        <v>300</v>
      </c>
      <c r="J655">
        <v>274.42</v>
      </c>
      <c r="K655" t="s">
        <v>58</v>
      </c>
      <c r="L655" t="s">
        <v>58</v>
      </c>
      <c r="M655" t="b">
        <v>0</v>
      </c>
      <c r="N655">
        <v>23051.279999999999</v>
      </c>
      <c r="O655" t="b">
        <f t="shared" si="20"/>
        <v>1</v>
      </c>
      <c r="P655">
        <v>84</v>
      </c>
      <c r="Q655">
        <f t="shared" si="21"/>
        <v>0</v>
      </c>
      <c r="R655">
        <v>0</v>
      </c>
      <c r="S655">
        <v>8</v>
      </c>
      <c r="T655" t="b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84</v>
      </c>
      <c r="BA655">
        <v>0</v>
      </c>
      <c r="BB655">
        <v>0</v>
      </c>
      <c r="BC655">
        <v>0</v>
      </c>
      <c r="BD655">
        <v>0</v>
      </c>
    </row>
    <row r="656" spans="1:56" x14ac:dyDescent="0.3">
      <c r="A656" t="s">
        <v>147</v>
      </c>
      <c r="B656" t="s">
        <v>56</v>
      </c>
      <c r="C656">
        <v>2082</v>
      </c>
      <c r="D656">
        <v>10</v>
      </c>
      <c r="E656">
        <v>7</v>
      </c>
      <c r="F656" t="s">
        <v>59</v>
      </c>
      <c r="G656">
        <v>295</v>
      </c>
      <c r="H656">
        <v>250</v>
      </c>
      <c r="I656">
        <v>300</v>
      </c>
      <c r="J656">
        <v>282.5</v>
      </c>
      <c r="K656" t="s">
        <v>58</v>
      </c>
      <c r="L656" t="s">
        <v>58</v>
      </c>
      <c r="M656" t="b">
        <v>0</v>
      </c>
      <c r="N656">
        <v>83337.5</v>
      </c>
      <c r="O656" t="b">
        <f t="shared" si="20"/>
        <v>1</v>
      </c>
      <c r="P656">
        <v>295</v>
      </c>
      <c r="Q656">
        <f t="shared" si="21"/>
        <v>0</v>
      </c>
      <c r="R656">
        <v>1</v>
      </c>
      <c r="S656">
        <v>8</v>
      </c>
      <c r="T656" t="b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295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</row>
    <row r="657" spans="1:56" x14ac:dyDescent="0.3">
      <c r="A657" t="s">
        <v>147</v>
      </c>
      <c r="B657" t="s">
        <v>56</v>
      </c>
      <c r="C657">
        <v>2082</v>
      </c>
      <c r="D657">
        <v>11</v>
      </c>
      <c r="E657">
        <v>8</v>
      </c>
      <c r="F657" t="s">
        <v>60</v>
      </c>
      <c r="G657">
        <v>1250</v>
      </c>
      <c r="H657">
        <v>250</v>
      </c>
      <c r="I657">
        <v>300</v>
      </c>
      <c r="J657">
        <v>282.5</v>
      </c>
      <c r="K657" t="s">
        <v>58</v>
      </c>
      <c r="L657" t="s">
        <v>58</v>
      </c>
      <c r="M657" t="b">
        <v>0</v>
      </c>
      <c r="N657">
        <v>353125</v>
      </c>
      <c r="O657" t="b">
        <f t="shared" si="20"/>
        <v>1</v>
      </c>
      <c r="P657">
        <v>1250</v>
      </c>
      <c r="Q657">
        <f t="shared" si="21"/>
        <v>0</v>
      </c>
      <c r="R657">
        <v>1</v>
      </c>
      <c r="S657">
        <v>8</v>
      </c>
      <c r="T657" t="b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1250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</row>
    <row r="658" spans="1:56" x14ac:dyDescent="0.3">
      <c r="A658" t="s">
        <v>147</v>
      </c>
      <c r="B658" t="s">
        <v>56</v>
      </c>
      <c r="C658">
        <v>2082</v>
      </c>
      <c r="D658">
        <v>12</v>
      </c>
      <c r="E658">
        <v>9</v>
      </c>
      <c r="F658" t="s">
        <v>61</v>
      </c>
      <c r="G658">
        <v>10520</v>
      </c>
      <c r="H658">
        <v>200</v>
      </c>
      <c r="I658">
        <v>300</v>
      </c>
      <c r="J658">
        <v>256.14999999999998</v>
      </c>
      <c r="K658" t="s">
        <v>58</v>
      </c>
      <c r="L658" t="s">
        <v>58</v>
      </c>
      <c r="M658" t="b">
        <v>0</v>
      </c>
      <c r="N658">
        <v>2694698</v>
      </c>
      <c r="O658" t="b">
        <f t="shared" si="20"/>
        <v>1</v>
      </c>
      <c r="P658">
        <v>10520</v>
      </c>
      <c r="Q658">
        <f t="shared" si="21"/>
        <v>0</v>
      </c>
      <c r="R658">
        <v>0.51520912547528497</v>
      </c>
      <c r="S658">
        <v>8</v>
      </c>
      <c r="T658" t="b">
        <v>0</v>
      </c>
      <c r="U658">
        <v>0</v>
      </c>
      <c r="V658">
        <v>0</v>
      </c>
      <c r="W658">
        <v>0</v>
      </c>
      <c r="X658">
        <v>0</v>
      </c>
      <c r="Y658">
        <v>3210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5420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1890</v>
      </c>
      <c r="BA658">
        <v>0</v>
      </c>
      <c r="BB658">
        <v>0</v>
      </c>
      <c r="BC658">
        <v>0</v>
      </c>
      <c r="BD658">
        <v>0</v>
      </c>
    </row>
    <row r="659" spans="1:56" x14ac:dyDescent="0.3">
      <c r="A659" t="s">
        <v>147</v>
      </c>
      <c r="B659" t="s">
        <v>56</v>
      </c>
      <c r="C659">
        <v>2083</v>
      </c>
      <c r="D659">
        <v>1</v>
      </c>
      <c r="E659">
        <v>10</v>
      </c>
      <c r="F659" t="s">
        <v>62</v>
      </c>
      <c r="G659">
        <v>2928</v>
      </c>
      <c r="H659">
        <v>200</v>
      </c>
      <c r="I659">
        <v>300</v>
      </c>
      <c r="J659">
        <v>250</v>
      </c>
      <c r="K659" t="s">
        <v>58</v>
      </c>
      <c r="L659" t="s">
        <v>58</v>
      </c>
      <c r="M659" t="b">
        <v>0</v>
      </c>
      <c r="N659">
        <v>732000</v>
      </c>
      <c r="O659" t="b">
        <f t="shared" si="20"/>
        <v>1</v>
      </c>
      <c r="P659">
        <v>2928</v>
      </c>
      <c r="Q659">
        <f t="shared" si="21"/>
        <v>0</v>
      </c>
      <c r="R659">
        <v>0.26639344262295001</v>
      </c>
      <c r="S659">
        <v>8</v>
      </c>
      <c r="T659" t="b">
        <v>0</v>
      </c>
      <c r="U659">
        <v>0</v>
      </c>
      <c r="V659">
        <v>0</v>
      </c>
      <c r="W659">
        <v>0</v>
      </c>
      <c r="X659">
        <v>0</v>
      </c>
      <c r="Y659">
        <v>1200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780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948</v>
      </c>
      <c r="BA659">
        <v>0</v>
      </c>
      <c r="BB659">
        <v>0</v>
      </c>
      <c r="BC659">
        <v>0</v>
      </c>
      <c r="BD659">
        <v>0</v>
      </c>
    </row>
    <row r="660" spans="1:56" x14ac:dyDescent="0.3">
      <c r="A660" t="s">
        <v>147</v>
      </c>
      <c r="B660" t="s">
        <v>56</v>
      </c>
      <c r="C660">
        <v>2082</v>
      </c>
      <c r="D660">
        <v>7</v>
      </c>
      <c r="E660">
        <v>4</v>
      </c>
      <c r="F660" t="s">
        <v>67</v>
      </c>
      <c r="G660">
        <v>0</v>
      </c>
      <c r="H660">
        <v>250</v>
      </c>
      <c r="I660">
        <v>280</v>
      </c>
      <c r="J660">
        <v>265</v>
      </c>
      <c r="K660" t="s">
        <v>58</v>
      </c>
      <c r="L660" t="s">
        <v>58</v>
      </c>
      <c r="M660" t="b">
        <v>0</v>
      </c>
      <c r="N660">
        <v>0</v>
      </c>
      <c r="O660" t="b">
        <f t="shared" si="20"/>
        <v>1</v>
      </c>
      <c r="P660">
        <v>0</v>
      </c>
      <c r="Q660">
        <f t="shared" si="21"/>
        <v>0</v>
      </c>
      <c r="S660">
        <v>1</v>
      </c>
      <c r="T660" t="b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</row>
    <row r="661" spans="1:56" x14ac:dyDescent="0.3">
      <c r="A661" t="s">
        <v>148</v>
      </c>
      <c r="B661" t="s">
        <v>64</v>
      </c>
      <c r="C661">
        <v>2082</v>
      </c>
      <c r="D661">
        <v>4</v>
      </c>
      <c r="E661">
        <v>1</v>
      </c>
      <c r="F661" t="s">
        <v>70</v>
      </c>
      <c r="G661">
        <v>0</v>
      </c>
      <c r="H661">
        <v>250</v>
      </c>
      <c r="I661">
        <v>250</v>
      </c>
      <c r="J661">
        <v>250</v>
      </c>
      <c r="K661" t="s">
        <v>58</v>
      </c>
      <c r="L661" t="s">
        <v>58</v>
      </c>
      <c r="M661" t="b">
        <v>0</v>
      </c>
      <c r="N661">
        <v>0</v>
      </c>
      <c r="O661" t="b">
        <f t="shared" si="20"/>
        <v>1</v>
      </c>
      <c r="P661">
        <v>0</v>
      </c>
      <c r="Q661">
        <f t="shared" si="21"/>
        <v>0</v>
      </c>
      <c r="S661">
        <v>4</v>
      </c>
      <c r="T661" t="b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</row>
    <row r="662" spans="1:56" x14ac:dyDescent="0.3">
      <c r="A662" t="s">
        <v>148</v>
      </c>
      <c r="B662" t="s">
        <v>64</v>
      </c>
      <c r="C662">
        <v>2082</v>
      </c>
      <c r="D662">
        <v>7</v>
      </c>
      <c r="E662">
        <v>4</v>
      </c>
      <c r="F662" t="s">
        <v>67</v>
      </c>
      <c r="G662">
        <v>1390</v>
      </c>
      <c r="J662">
        <v>315</v>
      </c>
      <c r="K662" t="s">
        <v>58</v>
      </c>
      <c r="L662" t="s">
        <v>58</v>
      </c>
      <c r="M662" t="b">
        <v>0</v>
      </c>
      <c r="N662">
        <v>437850</v>
      </c>
      <c r="O662" t="b">
        <f t="shared" si="20"/>
        <v>1</v>
      </c>
      <c r="P662">
        <v>1390</v>
      </c>
      <c r="Q662">
        <f t="shared" si="21"/>
        <v>0</v>
      </c>
      <c r="R662">
        <v>1</v>
      </c>
      <c r="S662">
        <v>4</v>
      </c>
      <c r="T662" t="b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1390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</row>
    <row r="663" spans="1:56" x14ac:dyDescent="0.3">
      <c r="A663" t="s">
        <v>148</v>
      </c>
      <c r="B663" t="s">
        <v>64</v>
      </c>
      <c r="C663">
        <v>2082</v>
      </c>
      <c r="D663">
        <v>8</v>
      </c>
      <c r="E663">
        <v>5</v>
      </c>
      <c r="F663" t="s">
        <v>68</v>
      </c>
      <c r="G663">
        <v>1170</v>
      </c>
      <c r="H663">
        <v>0</v>
      </c>
      <c r="I663">
        <v>0</v>
      </c>
      <c r="J663">
        <v>250</v>
      </c>
      <c r="K663" t="s">
        <v>58</v>
      </c>
      <c r="L663" t="s">
        <v>58</v>
      </c>
      <c r="M663" t="b">
        <v>0</v>
      </c>
      <c r="N663">
        <v>292500</v>
      </c>
      <c r="O663" t="b">
        <f t="shared" si="20"/>
        <v>1</v>
      </c>
      <c r="P663">
        <v>1170</v>
      </c>
      <c r="Q663">
        <f t="shared" si="21"/>
        <v>0</v>
      </c>
      <c r="R663">
        <v>1</v>
      </c>
      <c r="S663">
        <v>4</v>
      </c>
      <c r="T663" t="b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1170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</row>
    <row r="664" spans="1:56" x14ac:dyDescent="0.3">
      <c r="A664" t="s">
        <v>148</v>
      </c>
      <c r="B664" t="s">
        <v>64</v>
      </c>
      <c r="C664">
        <v>2082</v>
      </c>
      <c r="D664">
        <v>9</v>
      </c>
      <c r="E664">
        <v>6</v>
      </c>
      <c r="F664" t="s">
        <v>57</v>
      </c>
      <c r="G664">
        <v>350</v>
      </c>
      <c r="H664">
        <v>0</v>
      </c>
      <c r="I664">
        <v>0</v>
      </c>
      <c r="J664">
        <v>325</v>
      </c>
      <c r="K664" t="s">
        <v>58</v>
      </c>
      <c r="L664" t="s">
        <v>58</v>
      </c>
      <c r="M664" t="b">
        <v>0</v>
      </c>
      <c r="N664">
        <v>113750</v>
      </c>
      <c r="O664" t="b">
        <f t="shared" si="20"/>
        <v>0</v>
      </c>
      <c r="P664">
        <v>0</v>
      </c>
      <c r="Q664">
        <f t="shared" si="21"/>
        <v>350</v>
      </c>
      <c r="S664">
        <v>4</v>
      </c>
      <c r="T664" t="b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</row>
    <row r="665" spans="1:56" x14ac:dyDescent="0.3">
      <c r="A665" t="s">
        <v>149</v>
      </c>
      <c r="B665" t="s">
        <v>56</v>
      </c>
      <c r="C665">
        <v>2082</v>
      </c>
      <c r="D665">
        <v>4</v>
      </c>
      <c r="E665">
        <v>1</v>
      </c>
      <c r="F665" t="s">
        <v>70</v>
      </c>
      <c r="G665">
        <v>243003</v>
      </c>
      <c r="H665">
        <v>20</v>
      </c>
      <c r="I665">
        <v>80</v>
      </c>
      <c r="J665">
        <v>45.8</v>
      </c>
      <c r="K665" t="s">
        <v>58</v>
      </c>
      <c r="L665" t="s">
        <v>58</v>
      </c>
      <c r="M665" t="b">
        <v>0</v>
      </c>
      <c r="N665">
        <v>11129537.3999999</v>
      </c>
      <c r="O665" t="b">
        <f t="shared" si="20"/>
        <v>1</v>
      </c>
      <c r="P665">
        <v>243003</v>
      </c>
      <c r="Q665">
        <f t="shared" si="21"/>
        <v>0</v>
      </c>
      <c r="R665">
        <v>0</v>
      </c>
      <c r="S665">
        <v>10</v>
      </c>
      <c r="T665" t="b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84563</v>
      </c>
      <c r="AC665">
        <v>3010</v>
      </c>
      <c r="AD665">
        <v>2920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80035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63455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1160</v>
      </c>
      <c r="BD665">
        <v>7860</v>
      </c>
    </row>
    <row r="666" spans="1:56" x14ac:dyDescent="0.3">
      <c r="A666" t="s">
        <v>149</v>
      </c>
      <c r="B666" t="s">
        <v>56</v>
      </c>
      <c r="C666">
        <v>2082</v>
      </c>
      <c r="D666">
        <v>5</v>
      </c>
      <c r="E666">
        <v>2</v>
      </c>
      <c r="F666" t="s">
        <v>65</v>
      </c>
      <c r="G666">
        <v>143847</v>
      </c>
      <c r="H666">
        <v>20</v>
      </c>
      <c r="I666">
        <v>120</v>
      </c>
      <c r="J666">
        <v>54.66</v>
      </c>
      <c r="K666" t="s">
        <v>58</v>
      </c>
      <c r="L666" t="s">
        <v>58</v>
      </c>
      <c r="M666" t="b">
        <v>0</v>
      </c>
      <c r="N666">
        <v>7862677.0199999996</v>
      </c>
      <c r="O666" t="b">
        <f t="shared" si="20"/>
        <v>1</v>
      </c>
      <c r="P666">
        <v>143847</v>
      </c>
      <c r="Q666">
        <f t="shared" si="21"/>
        <v>0</v>
      </c>
      <c r="R666">
        <v>0</v>
      </c>
      <c r="S666">
        <v>10</v>
      </c>
      <c r="T666" t="b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42873</v>
      </c>
      <c r="AC666">
        <v>3040</v>
      </c>
      <c r="AD666">
        <v>4530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45809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38770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2670</v>
      </c>
      <c r="BD666">
        <v>6155</v>
      </c>
    </row>
    <row r="667" spans="1:56" x14ac:dyDescent="0.3">
      <c r="A667" t="s">
        <v>149</v>
      </c>
      <c r="B667" t="s">
        <v>56</v>
      </c>
      <c r="C667">
        <v>2082</v>
      </c>
      <c r="D667">
        <v>6</v>
      </c>
      <c r="E667">
        <v>3</v>
      </c>
      <c r="F667" t="s">
        <v>66</v>
      </c>
      <c r="G667">
        <v>97065</v>
      </c>
      <c r="H667">
        <v>100</v>
      </c>
      <c r="I667">
        <v>180</v>
      </c>
      <c r="J667">
        <v>125.94</v>
      </c>
      <c r="K667" t="s">
        <v>58</v>
      </c>
      <c r="L667" t="s">
        <v>58</v>
      </c>
      <c r="M667" t="b">
        <v>0</v>
      </c>
      <c r="N667">
        <v>12224366.1</v>
      </c>
      <c r="O667" t="b">
        <f t="shared" si="20"/>
        <v>1</v>
      </c>
      <c r="P667">
        <v>97065</v>
      </c>
      <c r="Q667">
        <f t="shared" si="21"/>
        <v>0</v>
      </c>
      <c r="R667">
        <v>1.49384433111832E-2</v>
      </c>
      <c r="S667">
        <v>10</v>
      </c>
      <c r="T667" t="b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39855</v>
      </c>
      <c r="AC667">
        <v>3200</v>
      </c>
      <c r="AD667">
        <v>0</v>
      </c>
      <c r="AE667">
        <v>1450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31155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18615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340</v>
      </c>
      <c r="BD667">
        <v>2450</v>
      </c>
    </row>
    <row r="668" spans="1:56" x14ac:dyDescent="0.3">
      <c r="A668" t="s">
        <v>149</v>
      </c>
      <c r="B668" t="s">
        <v>56</v>
      </c>
      <c r="C668">
        <v>2082</v>
      </c>
      <c r="D668">
        <v>7</v>
      </c>
      <c r="E668">
        <v>4</v>
      </c>
      <c r="F668" t="s">
        <v>67</v>
      </c>
      <c r="G668">
        <v>92590</v>
      </c>
      <c r="H668">
        <v>100</v>
      </c>
      <c r="I668">
        <v>160</v>
      </c>
      <c r="J668">
        <v>127.11</v>
      </c>
      <c r="K668" t="s">
        <v>58</v>
      </c>
      <c r="L668" t="s">
        <v>58</v>
      </c>
      <c r="M668" t="b">
        <v>0</v>
      </c>
      <c r="N668">
        <v>11769114.9</v>
      </c>
      <c r="O668" t="b">
        <f t="shared" si="20"/>
        <v>1</v>
      </c>
      <c r="P668">
        <v>92590</v>
      </c>
      <c r="Q668">
        <f t="shared" si="21"/>
        <v>0</v>
      </c>
      <c r="R668">
        <v>0</v>
      </c>
      <c r="S668">
        <v>10</v>
      </c>
      <c r="T668" t="b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45855</v>
      </c>
      <c r="AC668">
        <v>660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17775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27740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560</v>
      </c>
    </row>
    <row r="669" spans="1:56" x14ac:dyDescent="0.3">
      <c r="A669" t="s">
        <v>149</v>
      </c>
      <c r="B669" t="s">
        <v>56</v>
      </c>
      <c r="C669">
        <v>2082</v>
      </c>
      <c r="D669">
        <v>8</v>
      </c>
      <c r="E669">
        <v>5</v>
      </c>
      <c r="F669" t="s">
        <v>68</v>
      </c>
      <c r="G669">
        <v>87923</v>
      </c>
      <c r="H669">
        <v>130</v>
      </c>
      <c r="I669">
        <v>160</v>
      </c>
      <c r="J669">
        <v>145.53</v>
      </c>
      <c r="K669" t="s">
        <v>58</v>
      </c>
      <c r="L669" t="s">
        <v>58</v>
      </c>
      <c r="M669" t="b">
        <v>0</v>
      </c>
      <c r="N669">
        <v>12795434.189999999</v>
      </c>
      <c r="O669" t="b">
        <f t="shared" si="20"/>
        <v>1</v>
      </c>
      <c r="P669">
        <v>87923</v>
      </c>
      <c r="Q669">
        <f t="shared" si="21"/>
        <v>0</v>
      </c>
      <c r="R669">
        <v>0</v>
      </c>
      <c r="S669">
        <v>10</v>
      </c>
      <c r="T669" t="b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48060</v>
      </c>
      <c r="AC669">
        <v>210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7948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31705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</row>
    <row r="670" spans="1:56" x14ac:dyDescent="0.3">
      <c r="A670" t="s">
        <v>149</v>
      </c>
      <c r="B670" t="s">
        <v>56</v>
      </c>
      <c r="C670">
        <v>2082</v>
      </c>
      <c r="D670">
        <v>9</v>
      </c>
      <c r="E670">
        <v>6</v>
      </c>
      <c r="F670" t="s">
        <v>57</v>
      </c>
      <c r="G670">
        <v>70505</v>
      </c>
      <c r="H670">
        <v>130</v>
      </c>
      <c r="I670">
        <v>160</v>
      </c>
      <c r="J670">
        <v>145.68</v>
      </c>
      <c r="K670" t="s">
        <v>58</v>
      </c>
      <c r="L670" t="s">
        <v>58</v>
      </c>
      <c r="M670" t="b">
        <v>0</v>
      </c>
      <c r="N670">
        <v>10271168.4</v>
      </c>
      <c r="O670" t="b">
        <f t="shared" si="20"/>
        <v>1</v>
      </c>
      <c r="P670">
        <v>70505</v>
      </c>
      <c r="Q670">
        <f t="shared" si="21"/>
        <v>0</v>
      </c>
      <c r="R670">
        <v>0</v>
      </c>
      <c r="S670">
        <v>10</v>
      </c>
      <c r="T670" t="b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24215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1990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44300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</row>
    <row r="671" spans="1:56" x14ac:dyDescent="0.3">
      <c r="A671" t="s">
        <v>149</v>
      </c>
      <c r="B671" t="s">
        <v>56</v>
      </c>
      <c r="C671">
        <v>2082</v>
      </c>
      <c r="D671">
        <v>10</v>
      </c>
      <c r="E671">
        <v>7</v>
      </c>
      <c r="F671" t="s">
        <v>59</v>
      </c>
      <c r="G671">
        <v>28110</v>
      </c>
      <c r="H671">
        <v>100</v>
      </c>
      <c r="I671">
        <v>180</v>
      </c>
      <c r="J671">
        <v>146.57</v>
      </c>
      <c r="K671" t="s">
        <v>58</v>
      </c>
      <c r="L671" t="s">
        <v>58</v>
      </c>
      <c r="M671" t="b">
        <v>0</v>
      </c>
      <c r="N671">
        <v>4120082.6999999899</v>
      </c>
      <c r="O671" t="b">
        <f t="shared" si="20"/>
        <v>1</v>
      </c>
      <c r="P671">
        <v>28110</v>
      </c>
      <c r="Q671">
        <f t="shared" si="21"/>
        <v>0</v>
      </c>
      <c r="R671">
        <v>0</v>
      </c>
      <c r="S671">
        <v>10</v>
      </c>
      <c r="T671" t="b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1380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26730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</row>
    <row r="672" spans="1:56" x14ac:dyDescent="0.3">
      <c r="A672" t="s">
        <v>149</v>
      </c>
      <c r="B672" t="s">
        <v>56</v>
      </c>
      <c r="C672">
        <v>2082</v>
      </c>
      <c r="D672">
        <v>11</v>
      </c>
      <c r="E672">
        <v>8</v>
      </c>
      <c r="F672" t="s">
        <v>60</v>
      </c>
      <c r="G672">
        <v>34630</v>
      </c>
      <c r="H672">
        <v>100</v>
      </c>
      <c r="I672">
        <v>180</v>
      </c>
      <c r="J672">
        <v>141.38999999999999</v>
      </c>
      <c r="K672" t="s">
        <v>58</v>
      </c>
      <c r="L672" t="s">
        <v>58</v>
      </c>
      <c r="M672" t="b">
        <v>0</v>
      </c>
      <c r="N672">
        <v>4896335.6999999899</v>
      </c>
      <c r="O672" t="b">
        <f t="shared" si="20"/>
        <v>1</v>
      </c>
      <c r="P672">
        <v>34630</v>
      </c>
      <c r="Q672">
        <f t="shared" si="21"/>
        <v>0</v>
      </c>
      <c r="R672">
        <v>0</v>
      </c>
      <c r="S672">
        <v>10</v>
      </c>
      <c r="T672" t="b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34630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</row>
    <row r="673" spans="1:56" x14ac:dyDescent="0.3">
      <c r="A673" t="s">
        <v>149</v>
      </c>
      <c r="B673" t="s">
        <v>56</v>
      </c>
      <c r="C673">
        <v>2082</v>
      </c>
      <c r="D673">
        <v>12</v>
      </c>
      <c r="E673">
        <v>9</v>
      </c>
      <c r="F673" t="s">
        <v>61</v>
      </c>
      <c r="G673">
        <v>132895</v>
      </c>
      <c r="H673">
        <v>80</v>
      </c>
      <c r="I673">
        <v>180</v>
      </c>
      <c r="J673">
        <v>128.86000000000001</v>
      </c>
      <c r="K673" t="s">
        <v>58</v>
      </c>
      <c r="L673" t="s">
        <v>58</v>
      </c>
      <c r="M673" t="b">
        <v>0</v>
      </c>
      <c r="N673">
        <v>17124849.699999999</v>
      </c>
      <c r="O673" t="b">
        <f t="shared" si="20"/>
        <v>1</v>
      </c>
      <c r="P673">
        <v>132895</v>
      </c>
      <c r="Q673">
        <f t="shared" si="21"/>
        <v>0</v>
      </c>
      <c r="R673">
        <v>7.3290943978328693E-2</v>
      </c>
      <c r="S673">
        <v>10</v>
      </c>
      <c r="T673" t="b">
        <v>1</v>
      </c>
      <c r="U673">
        <v>0</v>
      </c>
      <c r="V673">
        <v>0</v>
      </c>
      <c r="W673">
        <v>0</v>
      </c>
      <c r="X673">
        <v>0</v>
      </c>
      <c r="Y673">
        <v>14200</v>
      </c>
      <c r="Z673">
        <v>0</v>
      </c>
      <c r="AA673">
        <v>0</v>
      </c>
      <c r="AB673">
        <v>26910</v>
      </c>
      <c r="AC673">
        <v>0</v>
      </c>
      <c r="AD673">
        <v>0</v>
      </c>
      <c r="AE673">
        <v>9740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340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81705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</row>
    <row r="674" spans="1:56" x14ac:dyDescent="0.3">
      <c r="A674" t="s">
        <v>149</v>
      </c>
      <c r="B674" t="s">
        <v>56</v>
      </c>
      <c r="C674">
        <v>2083</v>
      </c>
      <c r="D674">
        <v>1</v>
      </c>
      <c r="E674">
        <v>10</v>
      </c>
      <c r="F674" t="s">
        <v>62</v>
      </c>
      <c r="G674">
        <v>145570</v>
      </c>
      <c r="H674">
        <v>40</v>
      </c>
      <c r="I674">
        <v>140</v>
      </c>
      <c r="J674">
        <v>78.260000000000005</v>
      </c>
      <c r="K674" t="s">
        <v>58</v>
      </c>
      <c r="L674" t="s">
        <v>58</v>
      </c>
      <c r="M674" t="b">
        <v>0</v>
      </c>
      <c r="N674">
        <v>11392308.199999999</v>
      </c>
      <c r="O674" t="b">
        <f t="shared" si="20"/>
        <v>1</v>
      </c>
      <c r="P674">
        <v>145570</v>
      </c>
      <c r="Q674">
        <f t="shared" si="21"/>
        <v>0</v>
      </c>
      <c r="R674">
        <v>7.8312839183897701E-3</v>
      </c>
      <c r="S674">
        <v>10</v>
      </c>
      <c r="T674" t="b">
        <v>1</v>
      </c>
      <c r="U674">
        <v>0</v>
      </c>
      <c r="V674">
        <v>0</v>
      </c>
      <c r="W674">
        <v>0</v>
      </c>
      <c r="X674">
        <v>0</v>
      </c>
      <c r="Y674">
        <v>11425</v>
      </c>
      <c r="Z674">
        <v>0</v>
      </c>
      <c r="AA674">
        <v>0</v>
      </c>
      <c r="AB674">
        <v>60050</v>
      </c>
      <c r="AC674">
        <v>3020</v>
      </c>
      <c r="AD674">
        <v>0</v>
      </c>
      <c r="AE674">
        <v>1140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13600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56335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</row>
    <row r="675" spans="1:56" x14ac:dyDescent="0.3">
      <c r="A675" t="s">
        <v>150</v>
      </c>
      <c r="B675" t="s">
        <v>56</v>
      </c>
      <c r="C675">
        <v>2082</v>
      </c>
      <c r="D675">
        <v>4</v>
      </c>
      <c r="E675">
        <v>1</v>
      </c>
      <c r="F675" t="s">
        <v>70</v>
      </c>
      <c r="G675">
        <v>97831</v>
      </c>
      <c r="H675">
        <v>40</v>
      </c>
      <c r="I675">
        <v>60</v>
      </c>
      <c r="J675">
        <v>48.6</v>
      </c>
      <c r="K675" t="s">
        <v>58</v>
      </c>
      <c r="L675" t="s">
        <v>58</v>
      </c>
      <c r="M675" t="b">
        <v>0</v>
      </c>
      <c r="N675">
        <v>4754586.5999999996</v>
      </c>
      <c r="O675" t="b">
        <f t="shared" si="20"/>
        <v>1</v>
      </c>
      <c r="P675">
        <v>97831</v>
      </c>
      <c r="Q675">
        <f t="shared" si="21"/>
        <v>0</v>
      </c>
      <c r="R675">
        <v>0</v>
      </c>
      <c r="S675">
        <v>9</v>
      </c>
      <c r="T675" t="b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42952</v>
      </c>
      <c r="AC675">
        <v>3856</v>
      </c>
      <c r="AD675">
        <v>180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8663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37580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4600</v>
      </c>
    </row>
    <row r="676" spans="1:56" x14ac:dyDescent="0.3">
      <c r="A676" t="s">
        <v>150</v>
      </c>
      <c r="B676" t="s">
        <v>56</v>
      </c>
      <c r="C676">
        <v>2082</v>
      </c>
      <c r="D676">
        <v>5</v>
      </c>
      <c r="E676">
        <v>2</v>
      </c>
      <c r="F676" t="s">
        <v>65</v>
      </c>
      <c r="G676">
        <v>58915</v>
      </c>
      <c r="H676">
        <v>40</v>
      </c>
      <c r="I676">
        <v>80</v>
      </c>
      <c r="J676">
        <v>57.15</v>
      </c>
      <c r="K676" t="s">
        <v>58</v>
      </c>
      <c r="L676" t="s">
        <v>58</v>
      </c>
      <c r="M676" t="b">
        <v>0</v>
      </c>
      <c r="N676">
        <v>3366992.25</v>
      </c>
      <c r="O676" t="b">
        <f t="shared" si="20"/>
        <v>1</v>
      </c>
      <c r="P676">
        <v>58915</v>
      </c>
      <c r="Q676">
        <f t="shared" si="21"/>
        <v>0</v>
      </c>
      <c r="R676">
        <v>3.38623440549944E-2</v>
      </c>
      <c r="S676">
        <v>9</v>
      </c>
      <c r="T676" t="b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26320</v>
      </c>
      <c r="AC676">
        <v>1810</v>
      </c>
      <c r="AD676">
        <v>1170</v>
      </c>
      <c r="AE676">
        <v>1995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5275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18975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3370</v>
      </c>
    </row>
    <row r="677" spans="1:56" x14ac:dyDescent="0.3">
      <c r="A677" t="s">
        <v>150</v>
      </c>
      <c r="B677" t="s">
        <v>56</v>
      </c>
      <c r="C677">
        <v>2082</v>
      </c>
      <c r="D677">
        <v>6</v>
      </c>
      <c r="E677">
        <v>3</v>
      </c>
      <c r="F677" t="s">
        <v>66</v>
      </c>
      <c r="G677">
        <v>35694</v>
      </c>
      <c r="H677">
        <v>50</v>
      </c>
      <c r="I677">
        <v>100</v>
      </c>
      <c r="J677">
        <v>62.19</v>
      </c>
      <c r="K677" t="s">
        <v>58</v>
      </c>
      <c r="L677" t="s">
        <v>58</v>
      </c>
      <c r="M677" t="b">
        <v>0</v>
      </c>
      <c r="N677">
        <v>2219809.86</v>
      </c>
      <c r="O677" t="b">
        <f t="shared" si="20"/>
        <v>1</v>
      </c>
      <c r="P677">
        <v>35694</v>
      </c>
      <c r="Q677">
        <f t="shared" si="21"/>
        <v>0</v>
      </c>
      <c r="R677">
        <v>0</v>
      </c>
      <c r="S677">
        <v>9</v>
      </c>
      <c r="T677" t="b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18830</v>
      </c>
      <c r="AC677">
        <v>240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2594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13610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420</v>
      </c>
    </row>
    <row r="678" spans="1:56" x14ac:dyDescent="0.3">
      <c r="A678" t="s">
        <v>150</v>
      </c>
      <c r="B678" t="s">
        <v>56</v>
      </c>
      <c r="C678">
        <v>2082</v>
      </c>
      <c r="D678">
        <v>7</v>
      </c>
      <c r="E678">
        <v>4</v>
      </c>
      <c r="F678" t="s">
        <v>67</v>
      </c>
      <c r="G678">
        <v>39741</v>
      </c>
      <c r="H678">
        <v>50</v>
      </c>
      <c r="I678">
        <v>100</v>
      </c>
      <c r="J678">
        <v>64.209999999999994</v>
      </c>
      <c r="K678" t="s">
        <v>58</v>
      </c>
      <c r="L678" t="s">
        <v>58</v>
      </c>
      <c r="M678" t="b">
        <v>0</v>
      </c>
      <c r="N678">
        <v>2551769.61</v>
      </c>
      <c r="O678" t="b">
        <f t="shared" si="20"/>
        <v>1</v>
      </c>
      <c r="P678">
        <v>39741</v>
      </c>
      <c r="Q678">
        <f t="shared" si="21"/>
        <v>0</v>
      </c>
      <c r="R678">
        <v>1.45944993835082E-2</v>
      </c>
      <c r="S678">
        <v>9</v>
      </c>
      <c r="T678" t="b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22701</v>
      </c>
      <c r="AC678">
        <v>280</v>
      </c>
      <c r="AD678">
        <v>0</v>
      </c>
      <c r="AE678">
        <v>580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3325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12855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</row>
    <row r="679" spans="1:56" x14ac:dyDescent="0.3">
      <c r="A679" t="s">
        <v>150</v>
      </c>
      <c r="B679" t="s">
        <v>56</v>
      </c>
      <c r="C679">
        <v>2082</v>
      </c>
      <c r="D679">
        <v>8</v>
      </c>
      <c r="E679">
        <v>5</v>
      </c>
      <c r="F679" t="s">
        <v>68</v>
      </c>
      <c r="G679">
        <v>6510</v>
      </c>
      <c r="H679">
        <v>60</v>
      </c>
      <c r="I679">
        <v>100</v>
      </c>
      <c r="J679">
        <v>80</v>
      </c>
      <c r="K679" t="s">
        <v>58</v>
      </c>
      <c r="L679" t="s">
        <v>58</v>
      </c>
      <c r="M679" t="b">
        <v>0</v>
      </c>
      <c r="N679">
        <v>520800</v>
      </c>
      <c r="O679" t="b">
        <f t="shared" si="20"/>
        <v>1</v>
      </c>
      <c r="P679">
        <v>6510</v>
      </c>
      <c r="Q679">
        <f t="shared" si="21"/>
        <v>0</v>
      </c>
      <c r="R679">
        <v>0</v>
      </c>
      <c r="S679">
        <v>9</v>
      </c>
      <c r="T679" t="b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4070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440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2000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</row>
    <row r="680" spans="1:56" x14ac:dyDescent="0.3">
      <c r="A680" t="s">
        <v>150</v>
      </c>
      <c r="B680" t="s">
        <v>56</v>
      </c>
      <c r="C680">
        <v>2082</v>
      </c>
      <c r="D680">
        <v>9</v>
      </c>
      <c r="E680">
        <v>6</v>
      </c>
      <c r="F680" t="s">
        <v>57</v>
      </c>
      <c r="G680">
        <v>11990</v>
      </c>
      <c r="H680">
        <v>0</v>
      </c>
      <c r="I680">
        <v>0</v>
      </c>
      <c r="J680">
        <v>120</v>
      </c>
      <c r="K680" t="s">
        <v>58</v>
      </c>
      <c r="L680" t="s">
        <v>58</v>
      </c>
      <c r="M680" t="b">
        <v>0</v>
      </c>
      <c r="N680">
        <v>1438800</v>
      </c>
      <c r="O680" t="b">
        <f t="shared" si="20"/>
        <v>0</v>
      </c>
      <c r="P680">
        <v>68719</v>
      </c>
      <c r="Q680">
        <f t="shared" si="21"/>
        <v>56729</v>
      </c>
      <c r="R680">
        <v>0</v>
      </c>
      <c r="S680">
        <v>9</v>
      </c>
      <c r="T680" t="b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60129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8590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</row>
    <row r="681" spans="1:56" x14ac:dyDescent="0.3">
      <c r="A681" t="s">
        <v>150</v>
      </c>
      <c r="B681" t="s">
        <v>56</v>
      </c>
      <c r="C681">
        <v>2082</v>
      </c>
      <c r="D681">
        <v>10</v>
      </c>
      <c r="E681">
        <v>7</v>
      </c>
      <c r="F681" t="s">
        <v>59</v>
      </c>
      <c r="G681">
        <v>860</v>
      </c>
      <c r="H681">
        <v>0</v>
      </c>
      <c r="I681">
        <v>0</v>
      </c>
      <c r="J681">
        <v>130</v>
      </c>
      <c r="K681" t="s">
        <v>58</v>
      </c>
      <c r="L681" t="s">
        <v>58</v>
      </c>
      <c r="M681" t="b">
        <v>0</v>
      </c>
      <c r="N681">
        <v>111800</v>
      </c>
      <c r="O681" t="b">
        <f t="shared" si="20"/>
        <v>1</v>
      </c>
      <c r="P681">
        <v>860</v>
      </c>
      <c r="Q681">
        <f t="shared" si="21"/>
        <v>0</v>
      </c>
      <c r="R681">
        <v>0</v>
      </c>
      <c r="S681">
        <v>9</v>
      </c>
      <c r="T681" t="b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860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</row>
    <row r="682" spans="1:56" x14ac:dyDescent="0.3">
      <c r="A682" t="s">
        <v>150</v>
      </c>
      <c r="B682" t="s">
        <v>56</v>
      </c>
      <c r="C682">
        <v>2082</v>
      </c>
      <c r="D682">
        <v>12</v>
      </c>
      <c r="E682">
        <v>9</v>
      </c>
      <c r="F682" t="s">
        <v>61</v>
      </c>
      <c r="G682">
        <v>6795</v>
      </c>
      <c r="H682">
        <v>0</v>
      </c>
      <c r="I682">
        <v>0</v>
      </c>
      <c r="J682">
        <v>95</v>
      </c>
      <c r="K682" t="s">
        <v>58</v>
      </c>
      <c r="L682" t="s">
        <v>58</v>
      </c>
      <c r="M682" t="b">
        <v>0</v>
      </c>
      <c r="N682">
        <v>645525</v>
      </c>
      <c r="O682" t="b">
        <f t="shared" si="20"/>
        <v>1</v>
      </c>
      <c r="P682">
        <v>6795</v>
      </c>
      <c r="Q682">
        <f t="shared" si="21"/>
        <v>0</v>
      </c>
      <c r="R682">
        <v>0</v>
      </c>
      <c r="S682">
        <v>9</v>
      </c>
      <c r="T682" t="b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6795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</row>
    <row r="683" spans="1:56" x14ac:dyDescent="0.3">
      <c r="A683" t="s">
        <v>150</v>
      </c>
      <c r="B683" t="s">
        <v>56</v>
      </c>
      <c r="C683">
        <v>2083</v>
      </c>
      <c r="D683">
        <v>1</v>
      </c>
      <c r="E683">
        <v>10</v>
      </c>
      <c r="F683" t="s">
        <v>62</v>
      </c>
      <c r="G683">
        <v>50610</v>
      </c>
      <c r="H683">
        <v>0</v>
      </c>
      <c r="I683">
        <v>0</v>
      </c>
      <c r="J683">
        <v>90</v>
      </c>
      <c r="K683" t="s">
        <v>58</v>
      </c>
      <c r="L683" t="s">
        <v>58</v>
      </c>
      <c r="M683" t="b">
        <v>0</v>
      </c>
      <c r="N683">
        <v>4554900</v>
      </c>
      <c r="O683" t="b">
        <f t="shared" si="20"/>
        <v>1</v>
      </c>
      <c r="P683">
        <v>50610</v>
      </c>
      <c r="Q683">
        <f t="shared" si="21"/>
        <v>0</v>
      </c>
      <c r="R683">
        <v>0</v>
      </c>
      <c r="S683">
        <v>9</v>
      </c>
      <c r="T683" t="b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15590</v>
      </c>
      <c r="AC683">
        <v>1230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990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32800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</row>
    <row r="684" spans="1:56" x14ac:dyDescent="0.3">
      <c r="A684" t="s">
        <v>151</v>
      </c>
      <c r="B684" t="s">
        <v>56</v>
      </c>
      <c r="C684">
        <v>2082</v>
      </c>
      <c r="D684">
        <v>4</v>
      </c>
      <c r="E684">
        <v>1</v>
      </c>
      <c r="F684" t="s">
        <v>70</v>
      </c>
      <c r="G684">
        <v>6340</v>
      </c>
      <c r="H684">
        <v>180</v>
      </c>
      <c r="I684">
        <v>250</v>
      </c>
      <c r="J684">
        <v>207.8</v>
      </c>
      <c r="K684" t="s">
        <v>58</v>
      </c>
      <c r="L684" t="s">
        <v>58</v>
      </c>
      <c r="M684" t="b">
        <v>0</v>
      </c>
      <c r="N684">
        <v>1317452</v>
      </c>
      <c r="O684" t="b">
        <f t="shared" si="20"/>
        <v>1</v>
      </c>
      <c r="P684">
        <v>6340</v>
      </c>
      <c r="Q684">
        <f t="shared" si="21"/>
        <v>0</v>
      </c>
      <c r="R684">
        <v>0</v>
      </c>
      <c r="S684">
        <v>4</v>
      </c>
      <c r="T684" t="b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120</v>
      </c>
      <c r="AC684">
        <v>0</v>
      </c>
      <c r="AD684">
        <v>120</v>
      </c>
      <c r="AE684">
        <v>0</v>
      </c>
      <c r="AF684">
        <v>0</v>
      </c>
      <c r="AG684">
        <v>4970</v>
      </c>
      <c r="AH684">
        <v>0</v>
      </c>
      <c r="AI684">
        <v>0</v>
      </c>
      <c r="AJ684">
        <v>0</v>
      </c>
      <c r="AK684">
        <v>990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140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</row>
    <row r="685" spans="1:56" x14ac:dyDescent="0.3">
      <c r="A685" t="s">
        <v>151</v>
      </c>
      <c r="B685" t="s">
        <v>56</v>
      </c>
      <c r="C685">
        <v>2082</v>
      </c>
      <c r="D685">
        <v>5</v>
      </c>
      <c r="E685">
        <v>2</v>
      </c>
      <c r="F685" t="s">
        <v>65</v>
      </c>
      <c r="G685">
        <v>5747</v>
      </c>
      <c r="H685">
        <v>180</v>
      </c>
      <c r="I685">
        <v>250</v>
      </c>
      <c r="J685">
        <v>212.61</v>
      </c>
      <c r="K685" t="s">
        <v>58</v>
      </c>
      <c r="L685" t="s">
        <v>58</v>
      </c>
      <c r="M685" t="b">
        <v>0</v>
      </c>
      <c r="N685">
        <v>1221869.67</v>
      </c>
      <c r="O685" t="b">
        <f t="shared" si="20"/>
        <v>1</v>
      </c>
      <c r="P685">
        <v>5747</v>
      </c>
      <c r="Q685">
        <f t="shared" si="21"/>
        <v>0</v>
      </c>
      <c r="R685">
        <v>0</v>
      </c>
      <c r="S685">
        <v>4</v>
      </c>
      <c r="T685" t="b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870</v>
      </c>
      <c r="AC685">
        <v>0</v>
      </c>
      <c r="AD685">
        <v>1610</v>
      </c>
      <c r="AE685">
        <v>0</v>
      </c>
      <c r="AF685">
        <v>0</v>
      </c>
      <c r="AG685">
        <v>1924</v>
      </c>
      <c r="AH685">
        <v>0</v>
      </c>
      <c r="AI685">
        <v>0</v>
      </c>
      <c r="AJ685">
        <v>0</v>
      </c>
      <c r="AK685">
        <v>1133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210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</row>
    <row r="686" spans="1:56" x14ac:dyDescent="0.3">
      <c r="A686" t="s">
        <v>151</v>
      </c>
      <c r="B686" t="s">
        <v>56</v>
      </c>
      <c r="C686">
        <v>2082</v>
      </c>
      <c r="D686">
        <v>6</v>
      </c>
      <c r="E686">
        <v>3</v>
      </c>
      <c r="F686" t="s">
        <v>66</v>
      </c>
      <c r="G686">
        <v>7285</v>
      </c>
      <c r="H686">
        <v>100</v>
      </c>
      <c r="I686">
        <v>200</v>
      </c>
      <c r="J686">
        <v>143.75</v>
      </c>
      <c r="K686" t="s">
        <v>58</v>
      </c>
      <c r="L686" t="s">
        <v>58</v>
      </c>
      <c r="M686" t="b">
        <v>0</v>
      </c>
      <c r="N686">
        <v>1047218.75</v>
      </c>
      <c r="O686" t="b">
        <f t="shared" si="20"/>
        <v>1</v>
      </c>
      <c r="P686">
        <v>7285</v>
      </c>
      <c r="Q686">
        <f t="shared" si="21"/>
        <v>0</v>
      </c>
      <c r="R686">
        <v>0</v>
      </c>
      <c r="S686">
        <v>4</v>
      </c>
      <c r="T686" t="b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3970</v>
      </c>
      <c r="AC686">
        <v>0</v>
      </c>
      <c r="AD686">
        <v>440</v>
      </c>
      <c r="AE686">
        <v>0</v>
      </c>
      <c r="AF686">
        <v>0</v>
      </c>
      <c r="AG686">
        <v>830</v>
      </c>
      <c r="AH686">
        <v>0</v>
      </c>
      <c r="AI686">
        <v>0</v>
      </c>
      <c r="AJ686">
        <v>0</v>
      </c>
      <c r="AK686">
        <v>2045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</row>
    <row r="687" spans="1:56" x14ac:dyDescent="0.3">
      <c r="A687" t="s">
        <v>151</v>
      </c>
      <c r="B687" t="s">
        <v>56</v>
      </c>
      <c r="C687">
        <v>2082</v>
      </c>
      <c r="D687">
        <v>7</v>
      </c>
      <c r="E687">
        <v>4</v>
      </c>
      <c r="F687" t="s">
        <v>67</v>
      </c>
      <c r="G687">
        <v>1300</v>
      </c>
      <c r="H687">
        <v>100</v>
      </c>
      <c r="I687">
        <v>150</v>
      </c>
      <c r="J687">
        <v>125</v>
      </c>
      <c r="K687" t="s">
        <v>58</v>
      </c>
      <c r="L687" t="s">
        <v>58</v>
      </c>
      <c r="M687" t="b">
        <v>0</v>
      </c>
      <c r="N687">
        <v>162500</v>
      </c>
      <c r="O687" t="b">
        <f t="shared" si="20"/>
        <v>1</v>
      </c>
      <c r="P687">
        <v>1300</v>
      </c>
      <c r="Q687">
        <f t="shared" si="21"/>
        <v>0</v>
      </c>
      <c r="R687">
        <v>0</v>
      </c>
      <c r="S687">
        <v>4</v>
      </c>
      <c r="T687" t="b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240</v>
      </c>
      <c r="AC687">
        <v>240</v>
      </c>
      <c r="AD687">
        <v>0</v>
      </c>
      <c r="AE687">
        <v>0</v>
      </c>
      <c r="AF687">
        <v>0</v>
      </c>
      <c r="AG687">
        <v>240</v>
      </c>
      <c r="AH687">
        <v>0</v>
      </c>
      <c r="AI687">
        <v>0</v>
      </c>
      <c r="AJ687">
        <v>0</v>
      </c>
      <c r="AK687">
        <v>580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</row>
    <row r="688" spans="1:56" x14ac:dyDescent="0.3">
      <c r="A688" t="s">
        <v>152</v>
      </c>
      <c r="B688" t="s">
        <v>56</v>
      </c>
      <c r="C688">
        <v>2082</v>
      </c>
      <c r="D688">
        <v>4</v>
      </c>
      <c r="E688">
        <v>1</v>
      </c>
      <c r="F688" t="s">
        <v>70</v>
      </c>
      <c r="G688">
        <v>9239</v>
      </c>
      <c r="H688">
        <v>60</v>
      </c>
      <c r="I688">
        <v>140</v>
      </c>
      <c r="J688">
        <v>90.2</v>
      </c>
      <c r="K688" t="s">
        <v>86</v>
      </c>
      <c r="L688" t="s">
        <v>86</v>
      </c>
      <c r="M688" t="b">
        <v>0</v>
      </c>
      <c r="N688">
        <v>833357.8</v>
      </c>
      <c r="O688" t="b">
        <f t="shared" si="20"/>
        <v>1</v>
      </c>
      <c r="P688">
        <v>9239</v>
      </c>
      <c r="Q688">
        <f t="shared" si="21"/>
        <v>0</v>
      </c>
      <c r="R688">
        <v>0</v>
      </c>
      <c r="S688">
        <v>10</v>
      </c>
      <c r="T688" t="b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1820</v>
      </c>
      <c r="AH688">
        <v>0</v>
      </c>
      <c r="AI688">
        <v>0</v>
      </c>
      <c r="AJ688">
        <v>0</v>
      </c>
      <c r="AK688">
        <v>7419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</row>
    <row r="689" spans="1:56" x14ac:dyDescent="0.3">
      <c r="A689" t="s">
        <v>152</v>
      </c>
      <c r="B689" t="s">
        <v>56</v>
      </c>
      <c r="C689">
        <v>2082</v>
      </c>
      <c r="D689">
        <v>5</v>
      </c>
      <c r="E689">
        <v>2</v>
      </c>
      <c r="F689" t="s">
        <v>65</v>
      </c>
      <c r="G689">
        <v>5540</v>
      </c>
      <c r="H689">
        <v>60</v>
      </c>
      <c r="I689">
        <v>140</v>
      </c>
      <c r="J689">
        <v>74.650000000000006</v>
      </c>
      <c r="K689" t="s">
        <v>86</v>
      </c>
      <c r="L689" t="s">
        <v>86</v>
      </c>
      <c r="M689" t="b">
        <v>0</v>
      </c>
      <c r="N689">
        <v>413561</v>
      </c>
      <c r="O689" t="b">
        <f t="shared" si="20"/>
        <v>1</v>
      </c>
      <c r="P689">
        <v>5540</v>
      </c>
      <c r="Q689">
        <f t="shared" si="21"/>
        <v>0</v>
      </c>
      <c r="R689">
        <v>0</v>
      </c>
      <c r="S689">
        <v>10</v>
      </c>
      <c r="T689" t="b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2240</v>
      </c>
      <c r="AH689">
        <v>0</v>
      </c>
      <c r="AI689">
        <v>0</v>
      </c>
      <c r="AJ689">
        <v>0</v>
      </c>
      <c r="AK689">
        <v>3300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</row>
    <row r="690" spans="1:56" x14ac:dyDescent="0.3">
      <c r="A690" t="s">
        <v>152</v>
      </c>
      <c r="B690" t="s">
        <v>56</v>
      </c>
      <c r="C690">
        <v>2082</v>
      </c>
      <c r="D690">
        <v>6</v>
      </c>
      <c r="E690">
        <v>3</v>
      </c>
      <c r="F690" t="s">
        <v>66</v>
      </c>
      <c r="G690">
        <v>6395</v>
      </c>
      <c r="H690">
        <v>120</v>
      </c>
      <c r="I690">
        <v>200</v>
      </c>
      <c r="J690">
        <v>173.75</v>
      </c>
      <c r="K690" t="s">
        <v>86</v>
      </c>
      <c r="L690" t="s">
        <v>86</v>
      </c>
      <c r="M690" t="b">
        <v>0</v>
      </c>
      <c r="N690">
        <v>1111131.25</v>
      </c>
      <c r="O690" t="b">
        <f t="shared" si="20"/>
        <v>1</v>
      </c>
      <c r="P690">
        <v>6395</v>
      </c>
      <c r="Q690">
        <f t="shared" si="21"/>
        <v>0</v>
      </c>
      <c r="R690">
        <v>0</v>
      </c>
      <c r="S690">
        <v>10</v>
      </c>
      <c r="T690" t="b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1925</v>
      </c>
      <c r="AH690">
        <v>0</v>
      </c>
      <c r="AI690">
        <v>0</v>
      </c>
      <c r="AJ690">
        <v>0</v>
      </c>
      <c r="AK690">
        <v>4470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</row>
    <row r="691" spans="1:56" x14ac:dyDescent="0.3">
      <c r="A691" t="s">
        <v>152</v>
      </c>
      <c r="B691" t="s">
        <v>56</v>
      </c>
      <c r="C691">
        <v>2082</v>
      </c>
      <c r="D691">
        <v>7</v>
      </c>
      <c r="E691">
        <v>4</v>
      </c>
      <c r="F691" t="s">
        <v>67</v>
      </c>
      <c r="G691">
        <v>9550</v>
      </c>
      <c r="H691">
        <v>100</v>
      </c>
      <c r="I691">
        <v>200</v>
      </c>
      <c r="J691">
        <v>113.68</v>
      </c>
      <c r="K691" t="s">
        <v>86</v>
      </c>
      <c r="L691" t="s">
        <v>86</v>
      </c>
      <c r="M691" t="b">
        <v>0</v>
      </c>
      <c r="N691">
        <v>1085644</v>
      </c>
      <c r="O691" t="b">
        <f t="shared" si="20"/>
        <v>1</v>
      </c>
      <c r="P691">
        <v>9550</v>
      </c>
      <c r="Q691">
        <f t="shared" si="21"/>
        <v>0</v>
      </c>
      <c r="R691">
        <v>0</v>
      </c>
      <c r="S691">
        <v>10</v>
      </c>
      <c r="T691" t="b">
        <v>1</v>
      </c>
      <c r="U691">
        <v>0</v>
      </c>
      <c r="V691">
        <v>0</v>
      </c>
      <c r="W691">
        <v>0</v>
      </c>
      <c r="X691">
        <v>0</v>
      </c>
      <c r="Y691">
        <v>1110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2230</v>
      </c>
      <c r="AH691">
        <v>0</v>
      </c>
      <c r="AI691">
        <v>0</v>
      </c>
      <c r="AJ691">
        <v>0</v>
      </c>
      <c r="AK691">
        <v>6210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</row>
    <row r="692" spans="1:56" x14ac:dyDescent="0.3">
      <c r="A692" t="s">
        <v>152</v>
      </c>
      <c r="B692" t="s">
        <v>56</v>
      </c>
      <c r="C692">
        <v>2082</v>
      </c>
      <c r="D692">
        <v>8</v>
      </c>
      <c r="E692">
        <v>5</v>
      </c>
      <c r="F692" t="s">
        <v>68</v>
      </c>
      <c r="G692">
        <v>14170</v>
      </c>
      <c r="H692">
        <v>80</v>
      </c>
      <c r="I692">
        <v>120</v>
      </c>
      <c r="J692">
        <v>107.89</v>
      </c>
      <c r="K692" t="s">
        <v>86</v>
      </c>
      <c r="L692" t="s">
        <v>86</v>
      </c>
      <c r="M692" t="b">
        <v>0</v>
      </c>
      <c r="N692">
        <v>1528801.3</v>
      </c>
      <c r="O692" t="b">
        <f t="shared" si="20"/>
        <v>1</v>
      </c>
      <c r="P692">
        <v>14170</v>
      </c>
      <c r="Q692">
        <f t="shared" si="21"/>
        <v>0</v>
      </c>
      <c r="R692">
        <v>0</v>
      </c>
      <c r="S692">
        <v>10</v>
      </c>
      <c r="T692" t="b">
        <v>1</v>
      </c>
      <c r="U692">
        <v>0</v>
      </c>
      <c r="V692">
        <v>0</v>
      </c>
      <c r="W692">
        <v>0</v>
      </c>
      <c r="X692">
        <v>0</v>
      </c>
      <c r="Y692">
        <v>2960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2610</v>
      </c>
      <c r="AH692">
        <v>0</v>
      </c>
      <c r="AI692">
        <v>0</v>
      </c>
      <c r="AJ692">
        <v>0</v>
      </c>
      <c r="AK692">
        <v>8600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</row>
    <row r="693" spans="1:56" x14ac:dyDescent="0.3">
      <c r="A693" t="s">
        <v>152</v>
      </c>
      <c r="B693" t="s">
        <v>56</v>
      </c>
      <c r="C693">
        <v>2082</v>
      </c>
      <c r="D693">
        <v>9</v>
      </c>
      <c r="E693">
        <v>6</v>
      </c>
      <c r="F693" t="s">
        <v>57</v>
      </c>
      <c r="G693">
        <v>22312</v>
      </c>
      <c r="H693">
        <v>60</v>
      </c>
      <c r="I693">
        <v>100</v>
      </c>
      <c r="J693">
        <v>77.5</v>
      </c>
      <c r="K693" t="s">
        <v>86</v>
      </c>
      <c r="L693" t="s">
        <v>86</v>
      </c>
      <c r="M693" t="b">
        <v>0</v>
      </c>
      <c r="N693">
        <v>1729180</v>
      </c>
      <c r="O693" t="b">
        <f t="shared" si="20"/>
        <v>1</v>
      </c>
      <c r="P693">
        <v>22312</v>
      </c>
      <c r="Q693">
        <f t="shared" si="21"/>
        <v>0</v>
      </c>
      <c r="R693">
        <v>0</v>
      </c>
      <c r="S693">
        <v>10</v>
      </c>
      <c r="T693" t="b">
        <v>1</v>
      </c>
      <c r="U693">
        <v>0</v>
      </c>
      <c r="V693">
        <v>0</v>
      </c>
      <c r="W693">
        <v>0</v>
      </c>
      <c r="X693">
        <v>0</v>
      </c>
      <c r="Y693">
        <v>6900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4120</v>
      </c>
      <c r="AH693">
        <v>0</v>
      </c>
      <c r="AI693">
        <v>0</v>
      </c>
      <c r="AJ693">
        <v>0</v>
      </c>
      <c r="AK693">
        <v>11292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</row>
    <row r="694" spans="1:56" x14ac:dyDescent="0.3">
      <c r="A694" t="s">
        <v>152</v>
      </c>
      <c r="B694" t="s">
        <v>56</v>
      </c>
      <c r="C694">
        <v>2082</v>
      </c>
      <c r="D694">
        <v>10</v>
      </c>
      <c r="E694">
        <v>7</v>
      </c>
      <c r="F694" t="s">
        <v>59</v>
      </c>
      <c r="G694">
        <v>13880</v>
      </c>
      <c r="H694">
        <v>20</v>
      </c>
      <c r="I694">
        <v>70</v>
      </c>
      <c r="J694">
        <v>49.57</v>
      </c>
      <c r="K694" t="s">
        <v>86</v>
      </c>
      <c r="L694" t="s">
        <v>86</v>
      </c>
      <c r="M694" t="b">
        <v>0</v>
      </c>
      <c r="N694">
        <v>688031.6</v>
      </c>
      <c r="O694" t="b">
        <f t="shared" si="20"/>
        <v>1</v>
      </c>
      <c r="P694">
        <v>13880</v>
      </c>
      <c r="Q694">
        <f t="shared" si="21"/>
        <v>0</v>
      </c>
      <c r="R694">
        <v>0</v>
      </c>
      <c r="S694">
        <v>10</v>
      </c>
      <c r="T694" t="b">
        <v>1</v>
      </c>
      <c r="U694">
        <v>0</v>
      </c>
      <c r="V694">
        <v>0</v>
      </c>
      <c r="W694">
        <v>0</v>
      </c>
      <c r="X694">
        <v>0</v>
      </c>
      <c r="Y694">
        <v>4330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2890</v>
      </c>
      <c r="AH694">
        <v>0</v>
      </c>
      <c r="AI694">
        <v>0</v>
      </c>
      <c r="AJ694">
        <v>0</v>
      </c>
      <c r="AK694">
        <v>6660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</row>
    <row r="695" spans="1:56" x14ac:dyDescent="0.3">
      <c r="A695" t="s">
        <v>152</v>
      </c>
      <c r="B695" t="s">
        <v>56</v>
      </c>
      <c r="C695">
        <v>2082</v>
      </c>
      <c r="D695">
        <v>11</v>
      </c>
      <c r="E695">
        <v>8</v>
      </c>
      <c r="F695" t="s">
        <v>60</v>
      </c>
      <c r="G695">
        <v>11237</v>
      </c>
      <c r="H695">
        <v>20</v>
      </c>
      <c r="I695">
        <v>60</v>
      </c>
      <c r="J695">
        <v>40.56</v>
      </c>
      <c r="K695" t="s">
        <v>86</v>
      </c>
      <c r="L695" t="s">
        <v>86</v>
      </c>
      <c r="M695" t="b">
        <v>0</v>
      </c>
      <c r="N695">
        <v>455772.72</v>
      </c>
      <c r="O695" t="b">
        <f t="shared" si="20"/>
        <v>1</v>
      </c>
      <c r="P695">
        <v>11237</v>
      </c>
      <c r="Q695">
        <f t="shared" si="21"/>
        <v>0</v>
      </c>
      <c r="R695">
        <v>0</v>
      </c>
      <c r="S695">
        <v>10</v>
      </c>
      <c r="T695" t="b">
        <v>1</v>
      </c>
      <c r="U695">
        <v>0</v>
      </c>
      <c r="V695">
        <v>0</v>
      </c>
      <c r="W695">
        <v>0</v>
      </c>
      <c r="X695">
        <v>0</v>
      </c>
      <c r="Y695">
        <v>1870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1650</v>
      </c>
      <c r="AH695">
        <v>0</v>
      </c>
      <c r="AI695">
        <v>0</v>
      </c>
      <c r="AJ695">
        <v>0</v>
      </c>
      <c r="AK695">
        <v>7717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</row>
    <row r="696" spans="1:56" x14ac:dyDescent="0.3">
      <c r="A696" t="s">
        <v>152</v>
      </c>
      <c r="B696" t="s">
        <v>56</v>
      </c>
      <c r="C696">
        <v>2082</v>
      </c>
      <c r="D696">
        <v>12</v>
      </c>
      <c r="E696">
        <v>9</v>
      </c>
      <c r="F696" t="s">
        <v>61</v>
      </c>
      <c r="G696">
        <v>11790</v>
      </c>
      <c r="H696">
        <v>20</v>
      </c>
      <c r="I696">
        <v>60</v>
      </c>
      <c r="J696">
        <v>47.5</v>
      </c>
      <c r="K696" t="s">
        <v>86</v>
      </c>
      <c r="L696" t="s">
        <v>86</v>
      </c>
      <c r="M696" t="b">
        <v>0</v>
      </c>
      <c r="N696">
        <v>560025</v>
      </c>
      <c r="O696" t="b">
        <f t="shared" si="20"/>
        <v>1</v>
      </c>
      <c r="P696">
        <v>11790</v>
      </c>
      <c r="Q696">
        <f t="shared" si="21"/>
        <v>0</v>
      </c>
      <c r="R696">
        <v>0</v>
      </c>
      <c r="S696">
        <v>10</v>
      </c>
      <c r="T696" t="b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3090</v>
      </c>
      <c r="AH696">
        <v>0</v>
      </c>
      <c r="AI696">
        <v>0</v>
      </c>
      <c r="AJ696">
        <v>0</v>
      </c>
      <c r="AK696">
        <v>8700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</row>
    <row r="697" spans="1:56" x14ac:dyDescent="0.3">
      <c r="A697" t="s">
        <v>152</v>
      </c>
      <c r="B697" t="s">
        <v>56</v>
      </c>
      <c r="C697">
        <v>2083</v>
      </c>
      <c r="D697">
        <v>1</v>
      </c>
      <c r="E697">
        <v>10</v>
      </c>
      <c r="F697" t="s">
        <v>62</v>
      </c>
      <c r="G697">
        <v>8310</v>
      </c>
      <c r="H697">
        <v>50</v>
      </c>
      <c r="I697">
        <v>80</v>
      </c>
      <c r="J697">
        <v>60.87</v>
      </c>
      <c r="K697" t="s">
        <v>86</v>
      </c>
      <c r="L697" t="s">
        <v>86</v>
      </c>
      <c r="M697" t="b">
        <v>0</v>
      </c>
      <c r="N697">
        <v>505829.69999999902</v>
      </c>
      <c r="O697" t="b">
        <f t="shared" si="20"/>
        <v>1</v>
      </c>
      <c r="P697">
        <v>8310</v>
      </c>
      <c r="Q697">
        <f t="shared" si="21"/>
        <v>0</v>
      </c>
      <c r="R697">
        <v>0</v>
      </c>
      <c r="S697">
        <v>10</v>
      </c>
      <c r="T697" t="b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2610</v>
      </c>
      <c r="AH697">
        <v>0</v>
      </c>
      <c r="AI697">
        <v>0</v>
      </c>
      <c r="AJ697">
        <v>0</v>
      </c>
      <c r="AK697">
        <v>5700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</row>
    <row r="698" spans="1:56" x14ac:dyDescent="0.3">
      <c r="A698" t="s">
        <v>153</v>
      </c>
      <c r="B698" t="s">
        <v>56</v>
      </c>
      <c r="C698">
        <v>2082</v>
      </c>
      <c r="D698">
        <v>4</v>
      </c>
      <c r="E698">
        <v>1</v>
      </c>
      <c r="F698" t="s">
        <v>70</v>
      </c>
      <c r="G698">
        <v>5105</v>
      </c>
      <c r="H698">
        <v>80</v>
      </c>
      <c r="I698">
        <v>100</v>
      </c>
      <c r="J698">
        <v>86.25</v>
      </c>
      <c r="K698" t="s">
        <v>58</v>
      </c>
      <c r="L698" t="s">
        <v>58</v>
      </c>
      <c r="M698" t="b">
        <v>0</v>
      </c>
      <c r="N698">
        <v>440306.25</v>
      </c>
      <c r="O698" t="b">
        <f t="shared" si="20"/>
        <v>1</v>
      </c>
      <c r="P698">
        <v>5105</v>
      </c>
      <c r="Q698">
        <f t="shared" si="21"/>
        <v>0</v>
      </c>
      <c r="R698">
        <v>0</v>
      </c>
      <c r="S698">
        <v>4</v>
      </c>
      <c r="T698" t="b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5105</v>
      </c>
      <c r="BA698">
        <v>0</v>
      </c>
      <c r="BB698">
        <v>0</v>
      </c>
      <c r="BC698">
        <v>0</v>
      </c>
      <c r="BD698">
        <v>0</v>
      </c>
    </row>
    <row r="699" spans="1:56" x14ac:dyDescent="0.3">
      <c r="A699" t="s">
        <v>153</v>
      </c>
      <c r="B699" t="s">
        <v>56</v>
      </c>
      <c r="C699">
        <v>2082</v>
      </c>
      <c r="D699">
        <v>5</v>
      </c>
      <c r="E699">
        <v>2</v>
      </c>
      <c r="F699" t="s">
        <v>65</v>
      </c>
      <c r="G699">
        <v>4310</v>
      </c>
      <c r="H699">
        <v>80</v>
      </c>
      <c r="I699">
        <v>100</v>
      </c>
      <c r="J699">
        <v>86.12</v>
      </c>
      <c r="K699" t="s">
        <v>58</v>
      </c>
      <c r="L699" t="s">
        <v>58</v>
      </c>
      <c r="M699" t="b">
        <v>0</v>
      </c>
      <c r="N699">
        <v>371177.2</v>
      </c>
      <c r="O699" t="b">
        <f t="shared" si="20"/>
        <v>1</v>
      </c>
      <c r="P699">
        <v>4310</v>
      </c>
      <c r="Q699">
        <f t="shared" si="21"/>
        <v>0</v>
      </c>
      <c r="R699">
        <v>0</v>
      </c>
      <c r="S699">
        <v>4</v>
      </c>
      <c r="T699" t="b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4310</v>
      </c>
      <c r="BA699">
        <v>0</v>
      </c>
      <c r="BB699">
        <v>0</v>
      </c>
      <c r="BC699">
        <v>0</v>
      </c>
      <c r="BD699">
        <v>0</v>
      </c>
    </row>
    <row r="700" spans="1:56" x14ac:dyDescent="0.3">
      <c r="A700" t="s">
        <v>153</v>
      </c>
      <c r="B700" t="s">
        <v>56</v>
      </c>
      <c r="C700">
        <v>2082</v>
      </c>
      <c r="D700">
        <v>6</v>
      </c>
      <c r="E700">
        <v>3</v>
      </c>
      <c r="F700" t="s">
        <v>66</v>
      </c>
      <c r="G700">
        <v>0</v>
      </c>
      <c r="H700">
        <v>80</v>
      </c>
      <c r="I700">
        <v>90</v>
      </c>
      <c r="J700">
        <v>85</v>
      </c>
      <c r="K700" t="s">
        <v>58</v>
      </c>
      <c r="L700" t="s">
        <v>58</v>
      </c>
      <c r="M700" t="b">
        <v>0</v>
      </c>
      <c r="N700">
        <v>0</v>
      </c>
      <c r="O700" t="b">
        <f t="shared" si="20"/>
        <v>1</v>
      </c>
      <c r="P700">
        <v>0</v>
      </c>
      <c r="Q700">
        <f t="shared" si="21"/>
        <v>0</v>
      </c>
      <c r="S700">
        <v>4</v>
      </c>
      <c r="T700" t="b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</row>
    <row r="701" spans="1:56" x14ac:dyDescent="0.3">
      <c r="A701" t="s">
        <v>153</v>
      </c>
      <c r="B701" t="s">
        <v>56</v>
      </c>
      <c r="C701">
        <v>2082</v>
      </c>
      <c r="D701">
        <v>12</v>
      </c>
      <c r="E701">
        <v>9</v>
      </c>
      <c r="F701" t="s">
        <v>61</v>
      </c>
      <c r="G701">
        <v>150</v>
      </c>
      <c r="H701">
        <v>0</v>
      </c>
      <c r="I701">
        <v>0</v>
      </c>
      <c r="J701">
        <v>128.86000000000001</v>
      </c>
      <c r="K701" t="s">
        <v>58</v>
      </c>
      <c r="L701" t="s">
        <v>58</v>
      </c>
      <c r="M701" t="b">
        <v>0</v>
      </c>
      <c r="N701">
        <v>19329</v>
      </c>
      <c r="O701" t="b">
        <f t="shared" si="20"/>
        <v>1</v>
      </c>
      <c r="P701">
        <v>150</v>
      </c>
      <c r="Q701">
        <f t="shared" si="21"/>
        <v>0</v>
      </c>
      <c r="R701">
        <v>0</v>
      </c>
      <c r="S701">
        <v>4</v>
      </c>
      <c r="T701" t="b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150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</row>
    <row r="702" spans="1:56" x14ac:dyDescent="0.3">
      <c r="A702" t="s">
        <v>154</v>
      </c>
      <c r="B702" t="s">
        <v>56</v>
      </c>
      <c r="C702">
        <v>2082</v>
      </c>
      <c r="D702">
        <v>7</v>
      </c>
      <c r="E702">
        <v>4</v>
      </c>
      <c r="F702" t="s">
        <v>67</v>
      </c>
      <c r="G702">
        <v>0</v>
      </c>
      <c r="H702">
        <v>60</v>
      </c>
      <c r="I702">
        <v>100</v>
      </c>
      <c r="J702">
        <v>85.53</v>
      </c>
      <c r="K702" t="s">
        <v>58</v>
      </c>
      <c r="L702" t="s">
        <v>58</v>
      </c>
      <c r="M702" t="b">
        <v>0</v>
      </c>
      <c r="N702">
        <v>0</v>
      </c>
      <c r="O702" t="b">
        <f t="shared" si="20"/>
        <v>1</v>
      </c>
      <c r="P702">
        <v>0</v>
      </c>
      <c r="Q702">
        <f t="shared" si="21"/>
        <v>0</v>
      </c>
      <c r="S702">
        <v>1</v>
      </c>
      <c r="T702" t="b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</row>
    <row r="703" spans="1:56" x14ac:dyDescent="0.3">
      <c r="A703" t="s">
        <v>155</v>
      </c>
      <c r="B703" t="s">
        <v>56</v>
      </c>
      <c r="C703">
        <v>2082</v>
      </c>
      <c r="D703">
        <v>4</v>
      </c>
      <c r="E703">
        <v>1</v>
      </c>
      <c r="F703" t="s">
        <v>70</v>
      </c>
      <c r="G703">
        <v>26255</v>
      </c>
      <c r="H703">
        <v>40</v>
      </c>
      <c r="I703">
        <v>60</v>
      </c>
      <c r="J703">
        <v>52.2</v>
      </c>
      <c r="K703" t="s">
        <v>58</v>
      </c>
      <c r="L703" t="s">
        <v>58</v>
      </c>
      <c r="M703" t="b">
        <v>0</v>
      </c>
      <c r="N703">
        <v>1370511</v>
      </c>
      <c r="O703" t="b">
        <f t="shared" si="20"/>
        <v>1</v>
      </c>
      <c r="P703">
        <v>26255</v>
      </c>
      <c r="Q703">
        <f t="shared" si="21"/>
        <v>0</v>
      </c>
      <c r="R703">
        <v>0</v>
      </c>
      <c r="S703">
        <v>10</v>
      </c>
      <c r="T703" t="b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24685</v>
      </c>
      <c r="AL703">
        <v>0</v>
      </c>
      <c r="AM703">
        <v>0</v>
      </c>
      <c r="AN703">
        <v>1570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</row>
    <row r="704" spans="1:56" x14ac:dyDescent="0.3">
      <c r="A704" t="s">
        <v>155</v>
      </c>
      <c r="B704" t="s">
        <v>56</v>
      </c>
      <c r="C704">
        <v>2082</v>
      </c>
      <c r="D704">
        <v>5</v>
      </c>
      <c r="E704">
        <v>2</v>
      </c>
      <c r="F704" t="s">
        <v>65</v>
      </c>
      <c r="G704">
        <v>10840</v>
      </c>
      <c r="H704">
        <v>25</v>
      </c>
      <c r="I704">
        <v>60</v>
      </c>
      <c r="J704">
        <v>36.32</v>
      </c>
      <c r="K704" t="s">
        <v>58</v>
      </c>
      <c r="L704" t="s">
        <v>58</v>
      </c>
      <c r="M704" t="b">
        <v>0</v>
      </c>
      <c r="N704">
        <v>393708.79999999999</v>
      </c>
      <c r="O704" t="b">
        <f t="shared" si="20"/>
        <v>1</v>
      </c>
      <c r="P704">
        <v>10840</v>
      </c>
      <c r="Q704">
        <f t="shared" si="21"/>
        <v>0</v>
      </c>
      <c r="R704">
        <v>0</v>
      </c>
      <c r="S704">
        <v>10</v>
      </c>
      <c r="T704" t="b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10840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</row>
    <row r="705" spans="1:56" x14ac:dyDescent="0.3">
      <c r="A705" t="s">
        <v>155</v>
      </c>
      <c r="B705" t="s">
        <v>56</v>
      </c>
      <c r="C705">
        <v>2082</v>
      </c>
      <c r="D705">
        <v>6</v>
      </c>
      <c r="E705">
        <v>3</v>
      </c>
      <c r="F705" t="s">
        <v>66</v>
      </c>
      <c r="G705">
        <v>2840</v>
      </c>
      <c r="H705">
        <v>60</v>
      </c>
      <c r="I705">
        <v>200</v>
      </c>
      <c r="J705">
        <v>133.75</v>
      </c>
      <c r="K705" t="s">
        <v>58</v>
      </c>
      <c r="L705" t="s">
        <v>58</v>
      </c>
      <c r="M705" t="b">
        <v>0</v>
      </c>
      <c r="N705">
        <v>379850</v>
      </c>
      <c r="O705" t="b">
        <f t="shared" si="20"/>
        <v>1</v>
      </c>
      <c r="P705">
        <v>2840</v>
      </c>
      <c r="Q705">
        <f t="shared" si="21"/>
        <v>0</v>
      </c>
      <c r="R705">
        <v>0</v>
      </c>
      <c r="S705">
        <v>10</v>
      </c>
      <c r="T705" t="b">
        <v>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1120</v>
      </c>
      <c r="AE705">
        <v>0</v>
      </c>
      <c r="AF705">
        <v>0</v>
      </c>
      <c r="AG705">
        <v>120</v>
      </c>
      <c r="AH705">
        <v>0</v>
      </c>
      <c r="AI705">
        <v>0</v>
      </c>
      <c r="AJ705">
        <v>0</v>
      </c>
      <c r="AK705">
        <v>1600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</row>
    <row r="706" spans="1:56" x14ac:dyDescent="0.3">
      <c r="A706" t="s">
        <v>155</v>
      </c>
      <c r="B706" t="s">
        <v>56</v>
      </c>
      <c r="C706">
        <v>2082</v>
      </c>
      <c r="D706">
        <v>7</v>
      </c>
      <c r="E706">
        <v>4</v>
      </c>
      <c r="F706" t="s">
        <v>67</v>
      </c>
      <c r="G706">
        <v>43205</v>
      </c>
      <c r="H706">
        <v>150</v>
      </c>
      <c r="I706">
        <v>200</v>
      </c>
      <c r="J706">
        <v>175</v>
      </c>
      <c r="K706" t="s">
        <v>58</v>
      </c>
      <c r="L706" t="s">
        <v>58</v>
      </c>
      <c r="M706" t="b">
        <v>0</v>
      </c>
      <c r="N706">
        <v>7560875</v>
      </c>
      <c r="O706" t="b">
        <f t="shared" ref="O706:O769" si="22">IF(P706=G706,TRUE,FALSE)</f>
        <v>1</v>
      </c>
      <c r="P706">
        <v>43205</v>
      </c>
      <c r="Q706">
        <f t="shared" si="21"/>
        <v>0</v>
      </c>
      <c r="R706">
        <v>0</v>
      </c>
      <c r="S706">
        <v>10</v>
      </c>
      <c r="T706" t="b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4095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39110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</row>
    <row r="707" spans="1:56" x14ac:dyDescent="0.3">
      <c r="A707" t="s">
        <v>155</v>
      </c>
      <c r="B707" t="s">
        <v>56</v>
      </c>
      <c r="C707">
        <v>2082</v>
      </c>
      <c r="D707">
        <v>8</v>
      </c>
      <c r="E707">
        <v>5</v>
      </c>
      <c r="F707" t="s">
        <v>68</v>
      </c>
      <c r="G707">
        <v>82730</v>
      </c>
      <c r="H707">
        <v>70</v>
      </c>
      <c r="I707">
        <v>120</v>
      </c>
      <c r="J707">
        <v>86</v>
      </c>
      <c r="K707" t="s">
        <v>58</v>
      </c>
      <c r="L707" t="s">
        <v>58</v>
      </c>
      <c r="M707" t="b">
        <v>0</v>
      </c>
      <c r="N707">
        <v>7114780</v>
      </c>
      <c r="O707" t="b">
        <f t="shared" si="22"/>
        <v>1</v>
      </c>
      <c r="P707">
        <v>82730</v>
      </c>
      <c r="Q707">
        <f t="shared" si="21"/>
        <v>0</v>
      </c>
      <c r="R707">
        <v>3.07022845400701E-2</v>
      </c>
      <c r="S707">
        <v>10</v>
      </c>
      <c r="T707" t="b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1540</v>
      </c>
      <c r="AE707">
        <v>2540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24650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54000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</row>
    <row r="708" spans="1:56" x14ac:dyDescent="0.3">
      <c r="A708" t="s">
        <v>155</v>
      </c>
      <c r="B708" t="s">
        <v>56</v>
      </c>
      <c r="C708">
        <v>2082</v>
      </c>
      <c r="D708">
        <v>9</v>
      </c>
      <c r="E708">
        <v>6</v>
      </c>
      <c r="F708" t="s">
        <v>57</v>
      </c>
      <c r="G708">
        <v>101770</v>
      </c>
      <c r="H708">
        <v>70</v>
      </c>
      <c r="I708">
        <v>90</v>
      </c>
      <c r="J708">
        <v>80</v>
      </c>
      <c r="K708" t="s">
        <v>58</v>
      </c>
      <c r="L708" t="s">
        <v>58</v>
      </c>
      <c r="M708" t="b">
        <v>0</v>
      </c>
      <c r="N708">
        <v>8141600</v>
      </c>
      <c r="O708" t="b">
        <f t="shared" si="22"/>
        <v>1</v>
      </c>
      <c r="P708">
        <v>101770</v>
      </c>
      <c r="Q708">
        <f t="shared" si="21"/>
        <v>0</v>
      </c>
      <c r="R708">
        <v>0</v>
      </c>
      <c r="S708">
        <v>10</v>
      </c>
      <c r="T708" t="b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31690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70080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</row>
    <row r="709" spans="1:56" x14ac:dyDescent="0.3">
      <c r="A709" t="s">
        <v>155</v>
      </c>
      <c r="B709" t="s">
        <v>56</v>
      </c>
      <c r="C709">
        <v>2082</v>
      </c>
      <c r="D709">
        <v>10</v>
      </c>
      <c r="E709">
        <v>7</v>
      </c>
      <c r="F709" t="s">
        <v>59</v>
      </c>
      <c r="G709">
        <v>63940</v>
      </c>
      <c r="H709">
        <v>20</v>
      </c>
      <c r="I709">
        <v>90</v>
      </c>
      <c r="J709">
        <v>53.5</v>
      </c>
      <c r="K709" t="s">
        <v>58</v>
      </c>
      <c r="L709" t="s">
        <v>58</v>
      </c>
      <c r="M709" t="b">
        <v>0</v>
      </c>
      <c r="N709">
        <v>3420790</v>
      </c>
      <c r="O709" t="b">
        <f t="shared" si="22"/>
        <v>1</v>
      </c>
      <c r="P709">
        <v>63940</v>
      </c>
      <c r="Q709">
        <f t="shared" si="21"/>
        <v>0</v>
      </c>
      <c r="R709">
        <v>0</v>
      </c>
      <c r="S709">
        <v>10</v>
      </c>
      <c r="T709" t="b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150</v>
      </c>
      <c r="AH709">
        <v>0</v>
      </c>
      <c r="AI709">
        <v>0</v>
      </c>
      <c r="AJ709">
        <v>0</v>
      </c>
      <c r="AK709">
        <v>20010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43780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</row>
    <row r="710" spans="1:56" x14ac:dyDescent="0.3">
      <c r="A710" t="s">
        <v>155</v>
      </c>
      <c r="B710" t="s">
        <v>56</v>
      </c>
      <c r="C710">
        <v>2082</v>
      </c>
      <c r="D710">
        <v>11</v>
      </c>
      <c r="E710">
        <v>8</v>
      </c>
      <c r="F710" t="s">
        <v>60</v>
      </c>
      <c r="G710">
        <v>82770</v>
      </c>
      <c r="H710">
        <v>20</v>
      </c>
      <c r="I710">
        <v>60</v>
      </c>
      <c r="J710">
        <v>38.19</v>
      </c>
      <c r="K710" t="s">
        <v>58</v>
      </c>
      <c r="L710" t="s">
        <v>58</v>
      </c>
      <c r="M710" t="b">
        <v>0</v>
      </c>
      <c r="N710">
        <v>3160986.3</v>
      </c>
      <c r="O710" t="b">
        <f t="shared" si="22"/>
        <v>1</v>
      </c>
      <c r="P710">
        <v>82770</v>
      </c>
      <c r="Q710">
        <f t="shared" si="21"/>
        <v>0</v>
      </c>
      <c r="R710">
        <v>0</v>
      </c>
      <c r="S710">
        <v>10</v>
      </c>
      <c r="T710" t="b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42030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40740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</row>
    <row r="711" spans="1:56" x14ac:dyDescent="0.3">
      <c r="A711" t="s">
        <v>155</v>
      </c>
      <c r="B711" t="s">
        <v>56</v>
      </c>
      <c r="C711">
        <v>2082</v>
      </c>
      <c r="D711">
        <v>12</v>
      </c>
      <c r="E711">
        <v>9</v>
      </c>
      <c r="F711" t="s">
        <v>61</v>
      </c>
      <c r="G711">
        <v>134775</v>
      </c>
      <c r="H711">
        <v>20</v>
      </c>
      <c r="I711">
        <v>80</v>
      </c>
      <c r="J711">
        <v>60.91</v>
      </c>
      <c r="K711" t="s">
        <v>58</v>
      </c>
      <c r="L711" t="s">
        <v>58</v>
      </c>
      <c r="M711" t="b">
        <v>0</v>
      </c>
      <c r="N711">
        <v>8209145.25</v>
      </c>
      <c r="O711" t="b">
        <f t="shared" si="22"/>
        <v>1</v>
      </c>
      <c r="P711">
        <v>134775</v>
      </c>
      <c r="Q711">
        <f t="shared" si="21"/>
        <v>0</v>
      </c>
      <c r="R711">
        <v>0</v>
      </c>
      <c r="S711">
        <v>10</v>
      </c>
      <c r="T711" t="b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2240</v>
      </c>
      <c r="AC711">
        <v>0</v>
      </c>
      <c r="AD711">
        <v>1650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57245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73640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</row>
    <row r="712" spans="1:56" x14ac:dyDescent="0.3">
      <c r="A712" t="s">
        <v>155</v>
      </c>
      <c r="B712" t="s">
        <v>56</v>
      </c>
      <c r="C712">
        <v>2083</v>
      </c>
      <c r="D712">
        <v>1</v>
      </c>
      <c r="E712">
        <v>10</v>
      </c>
      <c r="F712" t="s">
        <v>62</v>
      </c>
      <c r="G712">
        <v>98748</v>
      </c>
      <c r="H712">
        <v>25</v>
      </c>
      <c r="I712">
        <v>70</v>
      </c>
      <c r="J712">
        <v>37.93</v>
      </c>
      <c r="K712" t="s">
        <v>58</v>
      </c>
      <c r="L712" t="s">
        <v>58</v>
      </c>
      <c r="M712" t="b">
        <v>0</v>
      </c>
      <c r="N712">
        <v>3745511.64</v>
      </c>
      <c r="O712" t="b">
        <f t="shared" si="22"/>
        <v>1</v>
      </c>
      <c r="P712">
        <v>98748</v>
      </c>
      <c r="Q712">
        <f t="shared" si="21"/>
        <v>0</v>
      </c>
      <c r="R712">
        <v>0</v>
      </c>
      <c r="S712">
        <v>10</v>
      </c>
      <c r="T712" t="b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2540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45410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50798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</row>
    <row r="713" spans="1:56" x14ac:dyDescent="0.3">
      <c r="A713" t="s">
        <v>156</v>
      </c>
      <c r="B713" t="s">
        <v>64</v>
      </c>
      <c r="C713">
        <v>2082</v>
      </c>
      <c r="D713">
        <v>4</v>
      </c>
      <c r="E713">
        <v>1</v>
      </c>
      <c r="F713" t="s">
        <v>70</v>
      </c>
      <c r="G713">
        <v>0</v>
      </c>
      <c r="H713">
        <v>480</v>
      </c>
      <c r="I713">
        <v>500</v>
      </c>
      <c r="J713">
        <v>490</v>
      </c>
      <c r="K713" t="s">
        <v>58</v>
      </c>
      <c r="L713" t="s">
        <v>58</v>
      </c>
      <c r="M713" t="b">
        <v>0</v>
      </c>
      <c r="N713">
        <v>0</v>
      </c>
      <c r="O713" t="b">
        <f t="shared" si="22"/>
        <v>1</v>
      </c>
      <c r="P713">
        <v>0</v>
      </c>
      <c r="Q713">
        <f t="shared" si="21"/>
        <v>0</v>
      </c>
      <c r="S713">
        <v>6</v>
      </c>
      <c r="T713" t="b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</row>
    <row r="714" spans="1:56" x14ac:dyDescent="0.3">
      <c r="A714" t="s">
        <v>156</v>
      </c>
      <c r="B714" t="s">
        <v>64</v>
      </c>
      <c r="C714">
        <v>2082</v>
      </c>
      <c r="D714">
        <v>9</v>
      </c>
      <c r="E714">
        <v>6</v>
      </c>
      <c r="F714" t="s">
        <v>57</v>
      </c>
      <c r="G714">
        <v>1560</v>
      </c>
      <c r="H714">
        <v>700</v>
      </c>
      <c r="I714">
        <v>700</v>
      </c>
      <c r="J714">
        <v>700</v>
      </c>
      <c r="K714" t="s">
        <v>58</v>
      </c>
      <c r="L714" t="s">
        <v>58</v>
      </c>
      <c r="M714" t="b">
        <v>0</v>
      </c>
      <c r="N714">
        <v>1092000</v>
      </c>
      <c r="O714" t="b">
        <f t="shared" si="22"/>
        <v>1</v>
      </c>
      <c r="P714">
        <v>1560</v>
      </c>
      <c r="Q714">
        <f t="shared" si="21"/>
        <v>0</v>
      </c>
      <c r="R714">
        <v>1</v>
      </c>
      <c r="S714">
        <v>6</v>
      </c>
      <c r="T714" t="b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1560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</row>
    <row r="715" spans="1:56" x14ac:dyDescent="0.3">
      <c r="A715" t="s">
        <v>156</v>
      </c>
      <c r="B715" t="s">
        <v>64</v>
      </c>
      <c r="C715">
        <v>2082</v>
      </c>
      <c r="D715">
        <v>10</v>
      </c>
      <c r="E715">
        <v>7</v>
      </c>
      <c r="F715" t="s">
        <v>59</v>
      </c>
      <c r="G715">
        <v>1140</v>
      </c>
      <c r="H715">
        <v>500</v>
      </c>
      <c r="I715">
        <v>700</v>
      </c>
      <c r="J715">
        <v>589.71</v>
      </c>
      <c r="K715" t="s">
        <v>58</v>
      </c>
      <c r="L715" t="s">
        <v>58</v>
      </c>
      <c r="M715" t="b">
        <v>0</v>
      </c>
      <c r="N715">
        <v>672269.4</v>
      </c>
      <c r="O715" t="b">
        <f t="shared" si="22"/>
        <v>1</v>
      </c>
      <c r="P715">
        <v>1140</v>
      </c>
      <c r="Q715">
        <f t="shared" si="21"/>
        <v>0</v>
      </c>
      <c r="R715">
        <v>1</v>
      </c>
      <c r="S715">
        <v>6</v>
      </c>
      <c r="T715" t="b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1140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</row>
    <row r="716" spans="1:56" x14ac:dyDescent="0.3">
      <c r="A716" t="s">
        <v>156</v>
      </c>
      <c r="B716" t="s">
        <v>64</v>
      </c>
      <c r="C716">
        <v>2082</v>
      </c>
      <c r="D716">
        <v>11</v>
      </c>
      <c r="E716">
        <v>8</v>
      </c>
      <c r="F716" t="s">
        <v>60</v>
      </c>
      <c r="G716">
        <v>1770</v>
      </c>
      <c r="H716">
        <v>500</v>
      </c>
      <c r="I716">
        <v>600</v>
      </c>
      <c r="J716">
        <v>550</v>
      </c>
      <c r="K716" t="s">
        <v>58</v>
      </c>
      <c r="L716" t="s">
        <v>58</v>
      </c>
      <c r="M716" t="b">
        <v>0</v>
      </c>
      <c r="N716">
        <v>973500</v>
      </c>
      <c r="O716" t="b">
        <f t="shared" si="22"/>
        <v>1</v>
      </c>
      <c r="P716">
        <v>1770</v>
      </c>
      <c r="Q716">
        <f t="shared" si="21"/>
        <v>0</v>
      </c>
      <c r="R716">
        <v>1</v>
      </c>
      <c r="S716">
        <v>6</v>
      </c>
      <c r="T716" t="b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1770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</row>
    <row r="717" spans="1:56" x14ac:dyDescent="0.3">
      <c r="A717" t="s">
        <v>156</v>
      </c>
      <c r="B717" t="s">
        <v>64</v>
      </c>
      <c r="C717">
        <v>2082</v>
      </c>
      <c r="D717">
        <v>12</v>
      </c>
      <c r="E717">
        <v>9</v>
      </c>
      <c r="F717" t="s">
        <v>61</v>
      </c>
      <c r="G717">
        <v>1810</v>
      </c>
      <c r="H717">
        <v>500</v>
      </c>
      <c r="I717">
        <v>600</v>
      </c>
      <c r="J717">
        <v>550</v>
      </c>
      <c r="K717" t="s">
        <v>58</v>
      </c>
      <c r="L717" t="s">
        <v>58</v>
      </c>
      <c r="M717" t="b">
        <v>0</v>
      </c>
      <c r="N717">
        <v>995500</v>
      </c>
      <c r="O717" t="b">
        <f t="shared" si="22"/>
        <v>1</v>
      </c>
      <c r="P717">
        <v>1810</v>
      </c>
      <c r="Q717">
        <f t="shared" si="21"/>
        <v>0</v>
      </c>
      <c r="R717">
        <v>1</v>
      </c>
      <c r="S717">
        <v>6</v>
      </c>
      <c r="T717" t="b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1810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</row>
    <row r="718" spans="1:56" x14ac:dyDescent="0.3">
      <c r="A718" t="s">
        <v>156</v>
      </c>
      <c r="B718" t="s">
        <v>64</v>
      </c>
      <c r="C718">
        <v>2083</v>
      </c>
      <c r="D718">
        <v>1</v>
      </c>
      <c r="E718">
        <v>10</v>
      </c>
      <c r="F718" t="s">
        <v>62</v>
      </c>
      <c r="G718">
        <v>1110</v>
      </c>
      <c r="H718">
        <v>500</v>
      </c>
      <c r="I718">
        <v>600</v>
      </c>
      <c r="J718">
        <v>550</v>
      </c>
      <c r="K718" t="s">
        <v>58</v>
      </c>
      <c r="L718" t="s">
        <v>58</v>
      </c>
      <c r="M718" t="b">
        <v>0</v>
      </c>
      <c r="N718">
        <v>610500</v>
      </c>
      <c r="O718" t="b">
        <f t="shared" si="22"/>
        <v>1</v>
      </c>
      <c r="P718">
        <v>1110</v>
      </c>
      <c r="Q718">
        <f t="shared" ref="Q718:Q781" si="23">ABS(P718-G718)</f>
        <v>0</v>
      </c>
      <c r="R718">
        <v>1</v>
      </c>
      <c r="S718">
        <v>6</v>
      </c>
      <c r="T718" t="b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1110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</row>
    <row r="719" spans="1:56" x14ac:dyDescent="0.3">
      <c r="A719" t="s">
        <v>157</v>
      </c>
      <c r="B719" t="s">
        <v>64</v>
      </c>
      <c r="C719">
        <v>2082</v>
      </c>
      <c r="D719">
        <v>4</v>
      </c>
      <c r="E719">
        <v>1</v>
      </c>
      <c r="F719" t="s">
        <v>70</v>
      </c>
      <c r="G719">
        <v>6750</v>
      </c>
      <c r="H719">
        <v>160</v>
      </c>
      <c r="I719">
        <v>220</v>
      </c>
      <c r="J719">
        <v>190</v>
      </c>
      <c r="K719" t="s">
        <v>97</v>
      </c>
      <c r="L719" t="s">
        <v>97</v>
      </c>
      <c r="M719" t="b">
        <v>1</v>
      </c>
      <c r="N719">
        <v>4129649.9999999902</v>
      </c>
      <c r="O719" t="b">
        <f t="shared" si="22"/>
        <v>1</v>
      </c>
      <c r="P719">
        <v>6750</v>
      </c>
      <c r="Q719">
        <f t="shared" si="23"/>
        <v>0</v>
      </c>
      <c r="R719">
        <v>0.76592592592592501</v>
      </c>
      <c r="S719">
        <v>10</v>
      </c>
      <c r="T719" t="b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540</v>
      </c>
      <c r="AD719">
        <v>0</v>
      </c>
      <c r="AE719">
        <v>5170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1040</v>
      </c>
    </row>
    <row r="720" spans="1:56" x14ac:dyDescent="0.3">
      <c r="A720" t="s">
        <v>157</v>
      </c>
      <c r="B720" t="s">
        <v>64</v>
      </c>
      <c r="C720">
        <v>2082</v>
      </c>
      <c r="D720">
        <v>5</v>
      </c>
      <c r="E720">
        <v>2</v>
      </c>
      <c r="F720" t="s">
        <v>65</v>
      </c>
      <c r="G720">
        <v>3160</v>
      </c>
      <c r="H720">
        <v>160</v>
      </c>
      <c r="I720">
        <v>220</v>
      </c>
      <c r="J720">
        <v>190</v>
      </c>
      <c r="K720" t="s">
        <v>97</v>
      </c>
      <c r="L720" t="s">
        <v>97</v>
      </c>
      <c r="M720" t="b">
        <v>1</v>
      </c>
      <c r="N720">
        <v>1106221.2</v>
      </c>
      <c r="O720" t="b">
        <f t="shared" si="22"/>
        <v>1</v>
      </c>
      <c r="P720">
        <v>3160</v>
      </c>
      <c r="Q720">
        <f t="shared" si="23"/>
        <v>0</v>
      </c>
      <c r="R720">
        <v>1</v>
      </c>
      <c r="S720">
        <v>10</v>
      </c>
      <c r="T720" t="b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3160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</row>
    <row r="721" spans="1:56" x14ac:dyDescent="0.3">
      <c r="A721" t="s">
        <v>157</v>
      </c>
      <c r="B721" t="s">
        <v>64</v>
      </c>
      <c r="C721">
        <v>2082</v>
      </c>
      <c r="D721">
        <v>6</v>
      </c>
      <c r="E721">
        <v>3</v>
      </c>
      <c r="F721" t="s">
        <v>66</v>
      </c>
      <c r="G721">
        <v>6990</v>
      </c>
      <c r="H721">
        <v>160</v>
      </c>
      <c r="I721">
        <v>170</v>
      </c>
      <c r="J721">
        <v>165</v>
      </c>
      <c r="K721" t="s">
        <v>97</v>
      </c>
      <c r="L721" t="s">
        <v>97</v>
      </c>
      <c r="M721" t="b">
        <v>1</v>
      </c>
      <c r="N721">
        <v>11498550</v>
      </c>
      <c r="O721" t="b">
        <f t="shared" si="22"/>
        <v>1</v>
      </c>
      <c r="P721">
        <v>6990</v>
      </c>
      <c r="Q721">
        <f t="shared" si="23"/>
        <v>0</v>
      </c>
      <c r="R721">
        <v>0</v>
      </c>
      <c r="S721">
        <v>10</v>
      </c>
      <c r="T721" t="b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2730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4260</v>
      </c>
    </row>
    <row r="722" spans="1:56" x14ac:dyDescent="0.3">
      <c r="A722" t="s">
        <v>157</v>
      </c>
      <c r="B722" t="s">
        <v>64</v>
      </c>
      <c r="C722">
        <v>2082</v>
      </c>
      <c r="D722">
        <v>7</v>
      </c>
      <c r="E722">
        <v>4</v>
      </c>
      <c r="F722" t="s">
        <v>67</v>
      </c>
      <c r="G722">
        <v>4350</v>
      </c>
      <c r="H722">
        <v>160</v>
      </c>
      <c r="I722">
        <v>170</v>
      </c>
      <c r="J722">
        <v>165</v>
      </c>
      <c r="K722" t="s">
        <v>97</v>
      </c>
      <c r="L722" t="s">
        <v>97</v>
      </c>
      <c r="M722" t="b">
        <v>1</v>
      </c>
      <c r="N722">
        <v>7155750</v>
      </c>
      <c r="O722" t="b">
        <f t="shared" si="22"/>
        <v>1</v>
      </c>
      <c r="P722">
        <v>4350</v>
      </c>
      <c r="Q722">
        <f t="shared" si="23"/>
        <v>0</v>
      </c>
      <c r="R722">
        <v>0.12413793103448199</v>
      </c>
      <c r="S722">
        <v>10</v>
      </c>
      <c r="T722" t="b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1120</v>
      </c>
      <c r="AD722">
        <v>0</v>
      </c>
      <c r="AE722">
        <v>540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2690</v>
      </c>
    </row>
    <row r="723" spans="1:56" x14ac:dyDescent="0.3">
      <c r="A723" t="s">
        <v>157</v>
      </c>
      <c r="B723" t="s">
        <v>64</v>
      </c>
      <c r="C723">
        <v>2082</v>
      </c>
      <c r="D723">
        <v>8</v>
      </c>
      <c r="E723">
        <v>5</v>
      </c>
      <c r="F723" t="s">
        <v>68</v>
      </c>
      <c r="G723">
        <v>3870</v>
      </c>
      <c r="H723">
        <v>160</v>
      </c>
      <c r="I723">
        <v>170</v>
      </c>
      <c r="J723">
        <v>165</v>
      </c>
      <c r="K723" t="s">
        <v>97</v>
      </c>
      <c r="L723" t="s">
        <v>97</v>
      </c>
      <c r="M723" t="b">
        <v>1</v>
      </c>
      <c r="N723">
        <v>6366150</v>
      </c>
      <c r="O723" t="b">
        <f t="shared" si="22"/>
        <v>1</v>
      </c>
      <c r="P723">
        <v>3870</v>
      </c>
      <c r="Q723">
        <f t="shared" si="23"/>
        <v>0</v>
      </c>
      <c r="R723">
        <v>0.434108527131782</v>
      </c>
      <c r="S723">
        <v>10</v>
      </c>
      <c r="T723" t="b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1680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2190</v>
      </c>
    </row>
    <row r="724" spans="1:56" x14ac:dyDescent="0.3">
      <c r="A724" t="s">
        <v>157</v>
      </c>
      <c r="B724" t="s">
        <v>64</v>
      </c>
      <c r="C724">
        <v>2082</v>
      </c>
      <c r="D724">
        <v>9</v>
      </c>
      <c r="E724">
        <v>6</v>
      </c>
      <c r="F724" t="s">
        <v>57</v>
      </c>
      <c r="G724">
        <v>9950</v>
      </c>
      <c r="H724">
        <v>160</v>
      </c>
      <c r="I724">
        <v>170</v>
      </c>
      <c r="J724">
        <v>165</v>
      </c>
      <c r="K724" t="s">
        <v>97</v>
      </c>
      <c r="L724" t="s">
        <v>97</v>
      </c>
      <c r="M724" t="b">
        <v>1</v>
      </c>
      <c r="N724">
        <v>16367750</v>
      </c>
      <c r="O724" t="b">
        <f t="shared" si="22"/>
        <v>1</v>
      </c>
      <c r="P724">
        <v>9950</v>
      </c>
      <c r="Q724">
        <f t="shared" si="23"/>
        <v>0</v>
      </c>
      <c r="R724">
        <v>0</v>
      </c>
      <c r="S724">
        <v>10</v>
      </c>
      <c r="T724" t="b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2690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7260</v>
      </c>
    </row>
    <row r="725" spans="1:56" x14ac:dyDescent="0.3">
      <c r="A725" t="s">
        <v>157</v>
      </c>
      <c r="B725" t="s">
        <v>64</v>
      </c>
      <c r="C725">
        <v>2082</v>
      </c>
      <c r="D725">
        <v>10</v>
      </c>
      <c r="E725">
        <v>7</v>
      </c>
      <c r="F725" t="s">
        <v>59</v>
      </c>
      <c r="G725">
        <v>101810</v>
      </c>
      <c r="H725">
        <v>160</v>
      </c>
      <c r="I725">
        <v>170</v>
      </c>
      <c r="J725">
        <v>165</v>
      </c>
      <c r="K725" t="s">
        <v>97</v>
      </c>
      <c r="L725" t="s">
        <v>97</v>
      </c>
      <c r="M725" t="b">
        <v>1</v>
      </c>
      <c r="N725">
        <v>167477450</v>
      </c>
      <c r="O725" t="b">
        <f t="shared" si="22"/>
        <v>1</v>
      </c>
      <c r="P725">
        <v>101810</v>
      </c>
      <c r="Q725">
        <f t="shared" si="23"/>
        <v>0</v>
      </c>
      <c r="R725">
        <v>3.1332874963166599E-2</v>
      </c>
      <c r="S725">
        <v>10</v>
      </c>
      <c r="T725" t="b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96350</v>
      </c>
      <c r="AD725">
        <v>0</v>
      </c>
      <c r="AE725">
        <v>3190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2270</v>
      </c>
    </row>
    <row r="726" spans="1:56" x14ac:dyDescent="0.3">
      <c r="A726" t="s">
        <v>157</v>
      </c>
      <c r="B726" t="s">
        <v>64</v>
      </c>
      <c r="C726">
        <v>2082</v>
      </c>
      <c r="D726">
        <v>11</v>
      </c>
      <c r="E726">
        <v>8</v>
      </c>
      <c r="F726" t="s">
        <v>60</v>
      </c>
      <c r="G726">
        <v>97060</v>
      </c>
      <c r="H726">
        <v>160</v>
      </c>
      <c r="I726">
        <v>170</v>
      </c>
      <c r="J726">
        <v>165</v>
      </c>
      <c r="K726" t="s">
        <v>97</v>
      </c>
      <c r="L726" t="s">
        <v>97</v>
      </c>
      <c r="M726" t="b">
        <v>1</v>
      </c>
      <c r="N726">
        <v>159663700</v>
      </c>
      <c r="O726" t="b">
        <f t="shared" si="22"/>
        <v>1</v>
      </c>
      <c r="P726">
        <v>97060</v>
      </c>
      <c r="Q726">
        <f t="shared" si="23"/>
        <v>0</v>
      </c>
      <c r="R726">
        <v>2.61693797650937E-2</v>
      </c>
      <c r="S726">
        <v>10</v>
      </c>
      <c r="T726" t="b">
        <v>1</v>
      </c>
      <c r="U726">
        <v>2060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90180</v>
      </c>
      <c r="AD726">
        <v>0</v>
      </c>
      <c r="AE726">
        <v>2540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2280</v>
      </c>
      <c r="BC726">
        <v>0</v>
      </c>
      <c r="BD726">
        <v>0</v>
      </c>
    </row>
    <row r="727" spans="1:56" x14ac:dyDescent="0.3">
      <c r="A727" t="s">
        <v>157</v>
      </c>
      <c r="B727" t="s">
        <v>64</v>
      </c>
      <c r="C727">
        <v>2082</v>
      </c>
      <c r="D727">
        <v>12</v>
      </c>
      <c r="E727">
        <v>9</v>
      </c>
      <c r="F727" t="s">
        <v>61</v>
      </c>
      <c r="G727">
        <v>26650</v>
      </c>
      <c r="H727">
        <v>160</v>
      </c>
      <c r="I727">
        <v>170</v>
      </c>
      <c r="J727">
        <v>165</v>
      </c>
      <c r="K727" t="s">
        <v>97</v>
      </c>
      <c r="L727" t="s">
        <v>97</v>
      </c>
      <c r="M727" t="b">
        <v>1</v>
      </c>
      <c r="N727">
        <v>43839250</v>
      </c>
      <c r="O727" t="b">
        <f t="shared" si="22"/>
        <v>1</v>
      </c>
      <c r="P727">
        <v>26650</v>
      </c>
      <c r="Q727">
        <f t="shared" si="23"/>
        <v>0</v>
      </c>
      <c r="R727">
        <v>4.31519699812382E-2</v>
      </c>
      <c r="S727">
        <v>10</v>
      </c>
      <c r="T727" t="b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1150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25500</v>
      </c>
      <c r="BC727">
        <v>0</v>
      </c>
      <c r="BD727">
        <v>0</v>
      </c>
    </row>
    <row r="728" spans="1:56" x14ac:dyDescent="0.3">
      <c r="A728" t="s">
        <v>157</v>
      </c>
      <c r="B728" t="s">
        <v>64</v>
      </c>
      <c r="C728">
        <v>2083</v>
      </c>
      <c r="D728">
        <v>1</v>
      </c>
      <c r="E728">
        <v>10</v>
      </c>
      <c r="F728" t="s">
        <v>62</v>
      </c>
      <c r="G728">
        <v>8540</v>
      </c>
      <c r="H728">
        <v>160</v>
      </c>
      <c r="I728">
        <v>170</v>
      </c>
      <c r="J728">
        <v>165</v>
      </c>
      <c r="K728" t="s">
        <v>97</v>
      </c>
      <c r="L728" t="s">
        <v>97</v>
      </c>
      <c r="M728" t="b">
        <v>1</v>
      </c>
      <c r="N728">
        <v>14048300</v>
      </c>
      <c r="O728" t="b">
        <f t="shared" si="22"/>
        <v>1</v>
      </c>
      <c r="P728">
        <v>8540</v>
      </c>
      <c r="Q728">
        <f t="shared" si="23"/>
        <v>0</v>
      </c>
      <c r="R728">
        <v>0</v>
      </c>
      <c r="S728">
        <v>10</v>
      </c>
      <c r="T728" t="b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8540</v>
      </c>
      <c r="BC728">
        <v>0</v>
      </c>
      <c r="BD728">
        <v>0</v>
      </c>
    </row>
    <row r="729" spans="1:56" x14ac:dyDescent="0.3">
      <c r="A729" t="s">
        <v>158</v>
      </c>
      <c r="B729" t="s">
        <v>56</v>
      </c>
      <c r="C729">
        <v>2082</v>
      </c>
      <c r="D729">
        <v>4</v>
      </c>
      <c r="E729">
        <v>1</v>
      </c>
      <c r="F729" t="s">
        <v>70</v>
      </c>
      <c r="G729">
        <v>139734</v>
      </c>
      <c r="H729">
        <v>130</v>
      </c>
      <c r="I729">
        <v>150</v>
      </c>
      <c r="J729">
        <v>140</v>
      </c>
      <c r="K729" t="s">
        <v>58</v>
      </c>
      <c r="L729" t="s">
        <v>58</v>
      </c>
      <c r="M729" t="b">
        <v>0</v>
      </c>
      <c r="N729">
        <v>19562760</v>
      </c>
      <c r="O729" t="b">
        <f t="shared" si="22"/>
        <v>1</v>
      </c>
      <c r="P729">
        <v>139734</v>
      </c>
      <c r="Q729">
        <f t="shared" si="23"/>
        <v>0</v>
      </c>
      <c r="R729">
        <v>4.9379535402979902E-2</v>
      </c>
      <c r="S729">
        <v>10</v>
      </c>
      <c r="T729" t="b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69444</v>
      </c>
      <c r="AE729">
        <v>6900</v>
      </c>
      <c r="AF729">
        <v>0</v>
      </c>
      <c r="AG729">
        <v>26060</v>
      </c>
      <c r="AH729">
        <v>0</v>
      </c>
      <c r="AI729">
        <v>0</v>
      </c>
      <c r="AJ729">
        <v>0</v>
      </c>
      <c r="AK729">
        <v>265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37065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</row>
    <row r="730" spans="1:56" x14ac:dyDescent="0.3">
      <c r="A730" t="s">
        <v>158</v>
      </c>
      <c r="B730" t="s">
        <v>56</v>
      </c>
      <c r="C730">
        <v>2082</v>
      </c>
      <c r="D730">
        <v>5</v>
      </c>
      <c r="E730">
        <v>2</v>
      </c>
      <c r="F730" t="s">
        <v>65</v>
      </c>
      <c r="G730">
        <v>74632</v>
      </c>
      <c r="H730">
        <v>80</v>
      </c>
      <c r="I730">
        <v>200</v>
      </c>
      <c r="J730">
        <v>139.16999999999999</v>
      </c>
      <c r="K730" t="s">
        <v>58</v>
      </c>
      <c r="L730" t="s">
        <v>58</v>
      </c>
      <c r="M730" t="b">
        <v>0</v>
      </c>
      <c r="N730">
        <v>10386535.439999999</v>
      </c>
      <c r="O730" t="b">
        <f t="shared" si="22"/>
        <v>1</v>
      </c>
      <c r="P730">
        <v>74632</v>
      </c>
      <c r="Q730">
        <f t="shared" si="23"/>
        <v>0</v>
      </c>
      <c r="R730">
        <v>0</v>
      </c>
      <c r="S730">
        <v>10</v>
      </c>
      <c r="T730" t="b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51120</v>
      </c>
      <c r="AE730">
        <v>0</v>
      </c>
      <c r="AF730">
        <v>0</v>
      </c>
      <c r="AG730">
        <v>8085</v>
      </c>
      <c r="AH730">
        <v>0</v>
      </c>
      <c r="AI730">
        <v>0</v>
      </c>
      <c r="AJ730">
        <v>0</v>
      </c>
      <c r="AK730">
        <v>157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15270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</row>
    <row r="731" spans="1:56" x14ac:dyDescent="0.3">
      <c r="A731" t="s">
        <v>158</v>
      </c>
      <c r="B731" t="s">
        <v>56</v>
      </c>
      <c r="C731">
        <v>2082</v>
      </c>
      <c r="D731">
        <v>6</v>
      </c>
      <c r="E731">
        <v>3</v>
      </c>
      <c r="F731" t="s">
        <v>66</v>
      </c>
      <c r="G731">
        <v>57015</v>
      </c>
      <c r="H731">
        <v>130</v>
      </c>
      <c r="I731">
        <v>250</v>
      </c>
      <c r="J731">
        <v>157.5</v>
      </c>
      <c r="K731" t="s">
        <v>58</v>
      </c>
      <c r="L731" t="s">
        <v>58</v>
      </c>
      <c r="M731" t="b">
        <v>0</v>
      </c>
      <c r="N731">
        <v>8979862.5</v>
      </c>
      <c r="O731" t="b">
        <f t="shared" si="22"/>
        <v>1</v>
      </c>
      <c r="P731">
        <v>57015</v>
      </c>
      <c r="Q731">
        <f t="shared" si="23"/>
        <v>0</v>
      </c>
      <c r="R731">
        <v>0.228711742523897</v>
      </c>
      <c r="S731">
        <v>10</v>
      </c>
      <c r="T731" t="b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36040</v>
      </c>
      <c r="AE731">
        <v>13040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30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7905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</row>
    <row r="732" spans="1:56" x14ac:dyDescent="0.3">
      <c r="A732" t="s">
        <v>158</v>
      </c>
      <c r="B732" t="s">
        <v>56</v>
      </c>
      <c r="C732">
        <v>2082</v>
      </c>
      <c r="D732">
        <v>7</v>
      </c>
      <c r="E732">
        <v>4</v>
      </c>
      <c r="F732" t="s">
        <v>67</v>
      </c>
      <c r="G732">
        <v>69161</v>
      </c>
      <c r="H732">
        <v>130</v>
      </c>
      <c r="I732">
        <v>230</v>
      </c>
      <c r="J732">
        <v>174.47</v>
      </c>
      <c r="K732" t="s">
        <v>58</v>
      </c>
      <c r="L732" t="s">
        <v>58</v>
      </c>
      <c r="M732" t="b">
        <v>0</v>
      </c>
      <c r="N732">
        <v>12066519.67</v>
      </c>
      <c r="O732" t="b">
        <f t="shared" si="22"/>
        <v>1</v>
      </c>
      <c r="P732">
        <v>69161</v>
      </c>
      <c r="Q732">
        <f t="shared" si="23"/>
        <v>0</v>
      </c>
      <c r="R732">
        <v>0.75969115541996202</v>
      </c>
      <c r="S732">
        <v>10</v>
      </c>
      <c r="T732" t="b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5300</v>
      </c>
      <c r="AE732">
        <v>52541</v>
      </c>
      <c r="AF732">
        <v>0</v>
      </c>
      <c r="AG732">
        <v>3450</v>
      </c>
      <c r="AH732">
        <v>0</v>
      </c>
      <c r="AI732">
        <v>0</v>
      </c>
      <c r="AJ732">
        <v>0</v>
      </c>
      <c r="AK732">
        <v>270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7600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</row>
    <row r="733" spans="1:56" x14ac:dyDescent="0.3">
      <c r="A733" t="s">
        <v>158</v>
      </c>
      <c r="B733" t="s">
        <v>56</v>
      </c>
      <c r="C733">
        <v>2082</v>
      </c>
      <c r="D733">
        <v>8</v>
      </c>
      <c r="E733">
        <v>5</v>
      </c>
      <c r="F733" t="s">
        <v>68</v>
      </c>
      <c r="G733">
        <v>93490</v>
      </c>
      <c r="H733">
        <v>130</v>
      </c>
      <c r="I733">
        <v>180</v>
      </c>
      <c r="J733">
        <v>147.88999999999999</v>
      </c>
      <c r="K733" t="s">
        <v>58</v>
      </c>
      <c r="L733" t="s">
        <v>58</v>
      </c>
      <c r="M733" t="b">
        <v>0</v>
      </c>
      <c r="N733">
        <v>13826236.1</v>
      </c>
      <c r="O733" t="b">
        <f t="shared" si="22"/>
        <v>1</v>
      </c>
      <c r="P733">
        <v>93490</v>
      </c>
      <c r="Q733">
        <f t="shared" si="23"/>
        <v>0</v>
      </c>
      <c r="R733">
        <v>0.68916461653652705</v>
      </c>
      <c r="S733">
        <v>10</v>
      </c>
      <c r="T733" t="b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2680</v>
      </c>
      <c r="AE733">
        <v>64430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280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26100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</row>
    <row r="734" spans="1:56" x14ac:dyDescent="0.3">
      <c r="A734" t="s">
        <v>158</v>
      </c>
      <c r="B734" t="s">
        <v>56</v>
      </c>
      <c r="C734">
        <v>2082</v>
      </c>
      <c r="D734">
        <v>9</v>
      </c>
      <c r="E734">
        <v>6</v>
      </c>
      <c r="F734" t="s">
        <v>57</v>
      </c>
      <c r="G734">
        <v>133005</v>
      </c>
      <c r="H734">
        <v>100</v>
      </c>
      <c r="I734">
        <v>150</v>
      </c>
      <c r="J734">
        <v>132.05000000000001</v>
      </c>
      <c r="K734" t="s">
        <v>58</v>
      </c>
      <c r="L734" t="s">
        <v>58</v>
      </c>
      <c r="M734" t="b">
        <v>0</v>
      </c>
      <c r="N734">
        <v>17563310.25</v>
      </c>
      <c r="O734" t="b">
        <f t="shared" si="22"/>
        <v>1</v>
      </c>
      <c r="P734">
        <v>133005</v>
      </c>
      <c r="Q734">
        <f t="shared" si="23"/>
        <v>0</v>
      </c>
      <c r="R734">
        <v>0.75959550392842301</v>
      </c>
      <c r="S734">
        <v>10</v>
      </c>
      <c r="T734" t="b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101030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140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31835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</row>
    <row r="735" spans="1:56" x14ac:dyDescent="0.3">
      <c r="A735" t="s">
        <v>158</v>
      </c>
      <c r="B735" t="s">
        <v>56</v>
      </c>
      <c r="C735">
        <v>2082</v>
      </c>
      <c r="D735">
        <v>10</v>
      </c>
      <c r="E735">
        <v>7</v>
      </c>
      <c r="F735" t="s">
        <v>59</v>
      </c>
      <c r="G735">
        <v>87505</v>
      </c>
      <c r="H735">
        <v>100</v>
      </c>
      <c r="I735">
        <v>130</v>
      </c>
      <c r="J735">
        <v>115</v>
      </c>
      <c r="K735" t="s">
        <v>58</v>
      </c>
      <c r="L735" t="s">
        <v>58</v>
      </c>
      <c r="M735" t="b">
        <v>0</v>
      </c>
      <c r="N735">
        <v>10063075</v>
      </c>
      <c r="O735" t="b">
        <f t="shared" si="22"/>
        <v>1</v>
      </c>
      <c r="P735">
        <v>87505</v>
      </c>
      <c r="Q735">
        <f t="shared" si="23"/>
        <v>0</v>
      </c>
      <c r="R735">
        <v>0.75578538369236004</v>
      </c>
      <c r="S735">
        <v>10</v>
      </c>
      <c r="T735" t="b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66135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740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20630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</row>
    <row r="736" spans="1:56" x14ac:dyDescent="0.3">
      <c r="A736" t="s">
        <v>158</v>
      </c>
      <c r="B736" t="s">
        <v>56</v>
      </c>
      <c r="C736">
        <v>2082</v>
      </c>
      <c r="D736">
        <v>11</v>
      </c>
      <c r="E736">
        <v>8</v>
      </c>
      <c r="F736" t="s">
        <v>60</v>
      </c>
      <c r="G736">
        <v>81650</v>
      </c>
      <c r="H736">
        <v>100</v>
      </c>
      <c r="I736">
        <v>130</v>
      </c>
      <c r="J736">
        <v>115</v>
      </c>
      <c r="K736" t="s">
        <v>58</v>
      </c>
      <c r="L736" t="s">
        <v>58</v>
      </c>
      <c r="M736" t="b">
        <v>0</v>
      </c>
      <c r="N736">
        <v>9389750</v>
      </c>
      <c r="O736" t="b">
        <f t="shared" si="22"/>
        <v>1</v>
      </c>
      <c r="P736">
        <v>81650</v>
      </c>
      <c r="Q736">
        <f t="shared" si="23"/>
        <v>0</v>
      </c>
      <c r="R736">
        <v>0.63018983466013401</v>
      </c>
      <c r="S736">
        <v>10</v>
      </c>
      <c r="T736" t="b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51455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580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29615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</row>
    <row r="737" spans="1:56" x14ac:dyDescent="0.3">
      <c r="A737" t="s">
        <v>158</v>
      </c>
      <c r="B737" t="s">
        <v>56</v>
      </c>
      <c r="C737">
        <v>2082</v>
      </c>
      <c r="D737">
        <v>12</v>
      </c>
      <c r="E737">
        <v>9</v>
      </c>
      <c r="F737" t="s">
        <v>61</v>
      </c>
      <c r="G737">
        <v>153575</v>
      </c>
      <c r="H737">
        <v>100</v>
      </c>
      <c r="I737">
        <v>150</v>
      </c>
      <c r="J737">
        <v>120.68</v>
      </c>
      <c r="K737" t="s">
        <v>58</v>
      </c>
      <c r="L737" t="s">
        <v>58</v>
      </c>
      <c r="M737" t="b">
        <v>0</v>
      </c>
      <c r="N737">
        <v>18533431</v>
      </c>
      <c r="O737" t="b">
        <f t="shared" si="22"/>
        <v>1</v>
      </c>
      <c r="P737">
        <v>153575</v>
      </c>
      <c r="Q737">
        <f t="shared" si="23"/>
        <v>0</v>
      </c>
      <c r="R737">
        <v>0.71062998534917698</v>
      </c>
      <c r="S737">
        <v>10</v>
      </c>
      <c r="T737" t="b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109135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1080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43360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</row>
    <row r="738" spans="1:56" x14ac:dyDescent="0.3">
      <c r="A738" t="s">
        <v>158</v>
      </c>
      <c r="B738" t="s">
        <v>56</v>
      </c>
      <c r="C738">
        <v>2083</v>
      </c>
      <c r="D738">
        <v>1</v>
      </c>
      <c r="E738">
        <v>10</v>
      </c>
      <c r="F738" t="s">
        <v>62</v>
      </c>
      <c r="G738">
        <v>148870</v>
      </c>
      <c r="H738">
        <v>100</v>
      </c>
      <c r="I738">
        <v>150</v>
      </c>
      <c r="J738">
        <v>124.78</v>
      </c>
      <c r="K738" t="s">
        <v>58</v>
      </c>
      <c r="L738" t="s">
        <v>58</v>
      </c>
      <c r="M738" t="b">
        <v>0</v>
      </c>
      <c r="N738">
        <v>18575998.600000001</v>
      </c>
      <c r="O738" t="b">
        <f t="shared" si="22"/>
        <v>1</v>
      </c>
      <c r="P738">
        <v>148870</v>
      </c>
      <c r="Q738">
        <f t="shared" si="23"/>
        <v>0</v>
      </c>
      <c r="R738">
        <v>0.56512393363337099</v>
      </c>
      <c r="S738">
        <v>10</v>
      </c>
      <c r="T738" t="b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84130</v>
      </c>
      <c r="AF738">
        <v>0</v>
      </c>
      <c r="AG738">
        <v>18970</v>
      </c>
      <c r="AH738">
        <v>0</v>
      </c>
      <c r="AI738">
        <v>0</v>
      </c>
      <c r="AJ738">
        <v>0</v>
      </c>
      <c r="AK738">
        <v>2650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43120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</row>
    <row r="739" spans="1:56" x14ac:dyDescent="0.3">
      <c r="A739" t="s">
        <v>159</v>
      </c>
      <c r="B739" t="s">
        <v>56</v>
      </c>
      <c r="C739">
        <v>2082</v>
      </c>
      <c r="D739">
        <v>6</v>
      </c>
      <c r="E739">
        <v>3</v>
      </c>
      <c r="F739" t="s">
        <v>66</v>
      </c>
      <c r="G739">
        <v>9725</v>
      </c>
      <c r="H739">
        <v>120</v>
      </c>
      <c r="I739">
        <v>140</v>
      </c>
      <c r="J739">
        <v>130</v>
      </c>
      <c r="K739" t="s">
        <v>58</v>
      </c>
      <c r="L739" t="s">
        <v>58</v>
      </c>
      <c r="M739" t="b">
        <v>0</v>
      </c>
      <c r="N739">
        <v>1264250</v>
      </c>
      <c r="O739" t="b">
        <f t="shared" si="22"/>
        <v>1</v>
      </c>
      <c r="P739">
        <v>9725</v>
      </c>
      <c r="Q739">
        <f t="shared" si="23"/>
        <v>0</v>
      </c>
      <c r="R739">
        <v>0.64524421593830295</v>
      </c>
      <c r="S739">
        <v>8</v>
      </c>
      <c r="T739" t="b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3450</v>
      </c>
      <c r="AE739">
        <v>6275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</row>
    <row r="740" spans="1:56" x14ac:dyDescent="0.3">
      <c r="A740" t="s">
        <v>159</v>
      </c>
      <c r="B740" t="s">
        <v>56</v>
      </c>
      <c r="C740">
        <v>2082</v>
      </c>
      <c r="D740">
        <v>7</v>
      </c>
      <c r="E740">
        <v>4</v>
      </c>
      <c r="F740" t="s">
        <v>67</v>
      </c>
      <c r="G740">
        <v>53740</v>
      </c>
      <c r="H740">
        <v>100</v>
      </c>
      <c r="I740">
        <v>140</v>
      </c>
      <c r="J740">
        <v>117.37</v>
      </c>
      <c r="K740" t="s">
        <v>58</v>
      </c>
      <c r="L740" t="s">
        <v>58</v>
      </c>
      <c r="M740" t="b">
        <v>0</v>
      </c>
      <c r="N740">
        <v>6307463.7999999998</v>
      </c>
      <c r="O740" t="b">
        <f t="shared" si="22"/>
        <v>1</v>
      </c>
      <c r="P740">
        <v>53740</v>
      </c>
      <c r="Q740">
        <f t="shared" si="23"/>
        <v>0</v>
      </c>
      <c r="R740">
        <v>0.96873836992928897</v>
      </c>
      <c r="S740">
        <v>8</v>
      </c>
      <c r="T740" t="b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1680</v>
      </c>
      <c r="AD740">
        <v>0</v>
      </c>
      <c r="AE740">
        <v>52060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</row>
    <row r="741" spans="1:56" x14ac:dyDescent="0.3">
      <c r="A741" t="s">
        <v>159</v>
      </c>
      <c r="B741" t="s">
        <v>56</v>
      </c>
      <c r="C741">
        <v>2082</v>
      </c>
      <c r="D741">
        <v>8</v>
      </c>
      <c r="E741">
        <v>5</v>
      </c>
      <c r="F741" t="s">
        <v>68</v>
      </c>
      <c r="G741">
        <v>35810</v>
      </c>
      <c r="H741">
        <v>100</v>
      </c>
      <c r="I741">
        <v>120</v>
      </c>
      <c r="J741">
        <v>110</v>
      </c>
      <c r="K741" t="s">
        <v>58</v>
      </c>
      <c r="L741" t="s">
        <v>58</v>
      </c>
      <c r="M741" t="b">
        <v>0</v>
      </c>
      <c r="N741">
        <v>3939100</v>
      </c>
      <c r="O741" t="b">
        <f t="shared" si="22"/>
        <v>1</v>
      </c>
      <c r="P741">
        <v>35810</v>
      </c>
      <c r="Q741">
        <f t="shared" si="23"/>
        <v>0</v>
      </c>
      <c r="R741">
        <v>1</v>
      </c>
      <c r="S741">
        <v>8</v>
      </c>
      <c r="T741" t="b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35810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</row>
    <row r="742" spans="1:56" x14ac:dyDescent="0.3">
      <c r="A742" t="s">
        <v>159</v>
      </c>
      <c r="B742" t="s">
        <v>56</v>
      </c>
      <c r="C742">
        <v>2082</v>
      </c>
      <c r="D742">
        <v>9</v>
      </c>
      <c r="E742">
        <v>6</v>
      </c>
      <c r="F742" t="s">
        <v>57</v>
      </c>
      <c r="G742">
        <v>192300</v>
      </c>
      <c r="H742">
        <v>100</v>
      </c>
      <c r="I742">
        <v>120</v>
      </c>
      <c r="J742">
        <v>110</v>
      </c>
      <c r="K742" t="s">
        <v>58</v>
      </c>
      <c r="L742" t="s">
        <v>58</v>
      </c>
      <c r="M742" t="b">
        <v>0</v>
      </c>
      <c r="N742">
        <v>21153000</v>
      </c>
      <c r="O742" t="b">
        <f t="shared" si="22"/>
        <v>0</v>
      </c>
      <c r="P742">
        <v>1549913</v>
      </c>
      <c r="Q742">
        <f t="shared" si="23"/>
        <v>1357613</v>
      </c>
      <c r="R742">
        <v>0.45021881873369601</v>
      </c>
      <c r="S742">
        <v>8</v>
      </c>
      <c r="T742" t="b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23555</v>
      </c>
      <c r="AD742">
        <v>0</v>
      </c>
      <c r="AE742">
        <v>697800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179414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649144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</row>
    <row r="743" spans="1:56" x14ac:dyDescent="0.3">
      <c r="A743" t="s">
        <v>159</v>
      </c>
      <c r="B743" t="s">
        <v>56</v>
      </c>
      <c r="C743">
        <v>2082</v>
      </c>
      <c r="D743">
        <v>10</v>
      </c>
      <c r="E743">
        <v>7</v>
      </c>
      <c r="F743" t="s">
        <v>59</v>
      </c>
      <c r="G743">
        <v>130405</v>
      </c>
      <c r="H743">
        <v>100</v>
      </c>
      <c r="I743">
        <v>120</v>
      </c>
      <c r="J743">
        <v>103.71</v>
      </c>
      <c r="K743" t="s">
        <v>58</v>
      </c>
      <c r="L743" t="s">
        <v>58</v>
      </c>
      <c r="M743" t="b">
        <v>0</v>
      </c>
      <c r="N743">
        <v>13524302.5499999</v>
      </c>
      <c r="O743" t="b">
        <f t="shared" si="22"/>
        <v>1</v>
      </c>
      <c r="P743">
        <v>130405</v>
      </c>
      <c r="Q743">
        <f t="shared" si="23"/>
        <v>0</v>
      </c>
      <c r="R743">
        <v>0.99815957977071401</v>
      </c>
      <c r="S743">
        <v>8</v>
      </c>
      <c r="T743" t="b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240</v>
      </c>
      <c r="AD743">
        <v>0</v>
      </c>
      <c r="AE743">
        <v>130165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</row>
    <row r="744" spans="1:56" x14ac:dyDescent="0.3">
      <c r="A744" t="s">
        <v>159</v>
      </c>
      <c r="B744" t="s">
        <v>56</v>
      </c>
      <c r="C744">
        <v>2082</v>
      </c>
      <c r="D744">
        <v>11</v>
      </c>
      <c r="E744">
        <v>8</v>
      </c>
      <c r="F744" t="s">
        <v>60</v>
      </c>
      <c r="G744">
        <v>1540</v>
      </c>
      <c r="H744">
        <v>100</v>
      </c>
      <c r="I744">
        <v>120</v>
      </c>
      <c r="J744">
        <v>110</v>
      </c>
      <c r="K744" t="s">
        <v>58</v>
      </c>
      <c r="L744" t="s">
        <v>58</v>
      </c>
      <c r="M744" t="b">
        <v>0</v>
      </c>
      <c r="N744">
        <v>169400</v>
      </c>
      <c r="O744" t="b">
        <f t="shared" si="22"/>
        <v>1</v>
      </c>
      <c r="P744">
        <v>1540</v>
      </c>
      <c r="Q744">
        <f t="shared" si="23"/>
        <v>0</v>
      </c>
      <c r="R744">
        <v>1</v>
      </c>
      <c r="S744">
        <v>8</v>
      </c>
      <c r="T744" t="b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1540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</row>
    <row r="745" spans="1:56" x14ac:dyDescent="0.3">
      <c r="A745" t="s">
        <v>159</v>
      </c>
      <c r="B745" t="s">
        <v>56</v>
      </c>
      <c r="C745">
        <v>2082</v>
      </c>
      <c r="D745">
        <v>12</v>
      </c>
      <c r="E745">
        <v>9</v>
      </c>
      <c r="F745" t="s">
        <v>61</v>
      </c>
      <c r="G745">
        <v>0</v>
      </c>
      <c r="H745">
        <v>100</v>
      </c>
      <c r="I745">
        <v>120</v>
      </c>
      <c r="J745">
        <v>110</v>
      </c>
      <c r="K745" t="s">
        <v>58</v>
      </c>
      <c r="L745" t="s">
        <v>58</v>
      </c>
      <c r="M745" t="b">
        <v>0</v>
      </c>
      <c r="N745">
        <v>0</v>
      </c>
      <c r="O745" t="b">
        <f t="shared" si="22"/>
        <v>1</v>
      </c>
      <c r="P745">
        <v>0</v>
      </c>
      <c r="Q745">
        <f t="shared" si="23"/>
        <v>0</v>
      </c>
      <c r="S745">
        <v>8</v>
      </c>
      <c r="T745" t="b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</row>
    <row r="746" spans="1:56" x14ac:dyDescent="0.3">
      <c r="A746" t="s">
        <v>159</v>
      </c>
      <c r="B746" t="s">
        <v>56</v>
      </c>
      <c r="C746">
        <v>2083</v>
      </c>
      <c r="D746">
        <v>1</v>
      </c>
      <c r="E746">
        <v>10</v>
      </c>
      <c r="F746" t="s">
        <v>62</v>
      </c>
      <c r="G746">
        <v>38880</v>
      </c>
      <c r="H746">
        <v>25</v>
      </c>
      <c r="I746">
        <v>35</v>
      </c>
      <c r="J746">
        <v>30</v>
      </c>
      <c r="K746" t="s">
        <v>58</v>
      </c>
      <c r="L746" t="s">
        <v>58</v>
      </c>
      <c r="M746" t="b">
        <v>0</v>
      </c>
      <c r="N746">
        <v>1166400</v>
      </c>
      <c r="O746" t="b">
        <f t="shared" si="22"/>
        <v>1</v>
      </c>
      <c r="P746">
        <v>38880</v>
      </c>
      <c r="Q746">
        <f t="shared" si="23"/>
        <v>0</v>
      </c>
      <c r="R746">
        <v>0.86136831275720105</v>
      </c>
      <c r="S746">
        <v>8</v>
      </c>
      <c r="T746" t="b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33490</v>
      </c>
      <c r="AF746">
        <v>0</v>
      </c>
      <c r="AG746">
        <v>3250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2140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</row>
    <row r="747" spans="1:56" x14ac:dyDescent="0.3">
      <c r="A747" t="s">
        <v>160</v>
      </c>
      <c r="B747" t="s">
        <v>56</v>
      </c>
      <c r="C747">
        <v>2082</v>
      </c>
      <c r="D747">
        <v>6</v>
      </c>
      <c r="E747">
        <v>3</v>
      </c>
      <c r="F747" t="s">
        <v>66</v>
      </c>
      <c r="G747">
        <v>206</v>
      </c>
      <c r="H747">
        <v>100</v>
      </c>
      <c r="I747">
        <v>180</v>
      </c>
      <c r="J747">
        <v>125.94</v>
      </c>
      <c r="K747" t="s">
        <v>58</v>
      </c>
      <c r="L747" t="s">
        <v>58</v>
      </c>
      <c r="M747" t="b">
        <v>0</v>
      </c>
      <c r="N747">
        <v>25943.64</v>
      </c>
      <c r="O747" t="b">
        <f t="shared" si="22"/>
        <v>1</v>
      </c>
      <c r="P747">
        <v>206</v>
      </c>
      <c r="Q747">
        <f t="shared" si="23"/>
        <v>0</v>
      </c>
      <c r="R747">
        <v>0</v>
      </c>
      <c r="S747">
        <v>7</v>
      </c>
      <c r="T747" t="b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206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</row>
    <row r="748" spans="1:56" x14ac:dyDescent="0.3">
      <c r="A748" t="s">
        <v>160</v>
      </c>
      <c r="B748" t="s">
        <v>56</v>
      </c>
      <c r="C748">
        <v>2082</v>
      </c>
      <c r="D748">
        <v>8</v>
      </c>
      <c r="E748">
        <v>5</v>
      </c>
      <c r="F748" t="s">
        <v>68</v>
      </c>
      <c r="G748">
        <v>99545</v>
      </c>
      <c r="H748">
        <v>130</v>
      </c>
      <c r="I748">
        <v>160</v>
      </c>
      <c r="J748">
        <v>145</v>
      </c>
      <c r="K748" t="s">
        <v>58</v>
      </c>
      <c r="L748" t="s">
        <v>58</v>
      </c>
      <c r="M748" t="b">
        <v>0</v>
      </c>
      <c r="N748">
        <v>14434025</v>
      </c>
      <c r="O748" t="b">
        <f t="shared" si="22"/>
        <v>1</v>
      </c>
      <c r="P748">
        <v>99545</v>
      </c>
      <c r="Q748">
        <f t="shared" si="23"/>
        <v>0</v>
      </c>
      <c r="R748">
        <v>0.23165402581746899</v>
      </c>
      <c r="S748">
        <v>7</v>
      </c>
      <c r="T748" t="b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10755</v>
      </c>
      <c r="AC748">
        <v>0</v>
      </c>
      <c r="AD748">
        <v>460</v>
      </c>
      <c r="AE748">
        <v>23060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11520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9645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44105</v>
      </c>
      <c r="BA748">
        <v>0</v>
      </c>
      <c r="BB748">
        <v>0</v>
      </c>
      <c r="BC748">
        <v>0</v>
      </c>
      <c r="BD748">
        <v>0</v>
      </c>
    </row>
    <row r="749" spans="1:56" x14ac:dyDescent="0.3">
      <c r="A749" t="s">
        <v>160</v>
      </c>
      <c r="B749" t="s">
        <v>56</v>
      </c>
      <c r="C749">
        <v>2082</v>
      </c>
      <c r="D749">
        <v>9</v>
      </c>
      <c r="E749">
        <v>6</v>
      </c>
      <c r="F749" t="s">
        <v>57</v>
      </c>
      <c r="G749">
        <v>127675</v>
      </c>
      <c r="H749">
        <v>100</v>
      </c>
      <c r="I749">
        <v>160</v>
      </c>
      <c r="J749">
        <v>132.72999999999999</v>
      </c>
      <c r="K749" t="s">
        <v>58</v>
      </c>
      <c r="L749" t="s">
        <v>58</v>
      </c>
      <c r="M749" t="b">
        <v>0</v>
      </c>
      <c r="N749">
        <v>16946302.75</v>
      </c>
      <c r="O749" t="b">
        <f t="shared" si="22"/>
        <v>1</v>
      </c>
      <c r="P749">
        <v>127675</v>
      </c>
      <c r="Q749">
        <f t="shared" si="23"/>
        <v>0</v>
      </c>
      <c r="R749">
        <v>0.25560994713138802</v>
      </c>
      <c r="S749">
        <v>7</v>
      </c>
      <c r="T749" t="b">
        <v>0</v>
      </c>
      <c r="U749">
        <v>0</v>
      </c>
      <c r="V749">
        <v>0</v>
      </c>
      <c r="W749">
        <v>0</v>
      </c>
      <c r="X749">
        <v>0</v>
      </c>
      <c r="Y749">
        <v>3250</v>
      </c>
      <c r="Z749">
        <v>0</v>
      </c>
      <c r="AA749">
        <v>0</v>
      </c>
      <c r="AB749">
        <v>7445</v>
      </c>
      <c r="AC749">
        <v>570</v>
      </c>
      <c r="AD749">
        <v>0</v>
      </c>
      <c r="AE749">
        <v>32635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18510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11090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54175</v>
      </c>
      <c r="BA749">
        <v>0</v>
      </c>
      <c r="BB749">
        <v>0</v>
      </c>
      <c r="BC749">
        <v>0</v>
      </c>
      <c r="BD749">
        <v>0</v>
      </c>
    </row>
    <row r="750" spans="1:56" x14ac:dyDescent="0.3">
      <c r="A750" t="s">
        <v>160</v>
      </c>
      <c r="B750" t="s">
        <v>56</v>
      </c>
      <c r="C750">
        <v>2082</v>
      </c>
      <c r="D750">
        <v>10</v>
      </c>
      <c r="E750">
        <v>7</v>
      </c>
      <c r="F750" t="s">
        <v>59</v>
      </c>
      <c r="G750">
        <v>74630</v>
      </c>
      <c r="H750">
        <v>100</v>
      </c>
      <c r="I750">
        <v>150</v>
      </c>
      <c r="J750">
        <v>134.29</v>
      </c>
      <c r="K750" t="s">
        <v>58</v>
      </c>
      <c r="L750" t="s">
        <v>58</v>
      </c>
      <c r="M750" t="b">
        <v>0</v>
      </c>
      <c r="N750">
        <v>10022062.699999999</v>
      </c>
      <c r="O750" t="b">
        <f t="shared" si="22"/>
        <v>1</v>
      </c>
      <c r="P750">
        <v>74630</v>
      </c>
      <c r="Q750">
        <f t="shared" si="23"/>
        <v>0</v>
      </c>
      <c r="R750">
        <v>0.29927643038992302</v>
      </c>
      <c r="S750">
        <v>7</v>
      </c>
      <c r="T750" t="b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3850</v>
      </c>
      <c r="AC750">
        <v>340</v>
      </c>
      <c r="AD750">
        <v>0</v>
      </c>
      <c r="AE750">
        <v>22335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8800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7630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31675</v>
      </c>
      <c r="BA750">
        <v>0</v>
      </c>
      <c r="BB750">
        <v>0</v>
      </c>
      <c r="BC750">
        <v>0</v>
      </c>
      <c r="BD750">
        <v>0</v>
      </c>
    </row>
    <row r="751" spans="1:56" x14ac:dyDescent="0.3">
      <c r="A751" t="s">
        <v>160</v>
      </c>
      <c r="B751" t="s">
        <v>56</v>
      </c>
      <c r="C751">
        <v>2082</v>
      </c>
      <c r="D751">
        <v>11</v>
      </c>
      <c r="E751">
        <v>8</v>
      </c>
      <c r="F751" t="s">
        <v>60</v>
      </c>
      <c r="G751">
        <v>57515</v>
      </c>
      <c r="H751">
        <v>130</v>
      </c>
      <c r="I751">
        <v>150</v>
      </c>
      <c r="J751">
        <v>140</v>
      </c>
      <c r="K751" t="s">
        <v>58</v>
      </c>
      <c r="L751" t="s">
        <v>58</v>
      </c>
      <c r="M751" t="b">
        <v>0</v>
      </c>
      <c r="N751">
        <v>8052100</v>
      </c>
      <c r="O751" t="b">
        <f t="shared" si="22"/>
        <v>1</v>
      </c>
      <c r="P751">
        <v>57515</v>
      </c>
      <c r="Q751">
        <f t="shared" si="23"/>
        <v>0</v>
      </c>
      <c r="R751">
        <v>0.33399982613231299</v>
      </c>
      <c r="S751">
        <v>7</v>
      </c>
      <c r="T751" t="b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540</v>
      </c>
      <c r="AC751">
        <v>0</v>
      </c>
      <c r="AD751">
        <v>0</v>
      </c>
      <c r="AE751">
        <v>19210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6115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4920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26730</v>
      </c>
      <c r="BA751">
        <v>0</v>
      </c>
      <c r="BB751">
        <v>0</v>
      </c>
      <c r="BC751">
        <v>0</v>
      </c>
      <c r="BD751">
        <v>0</v>
      </c>
    </row>
    <row r="752" spans="1:56" x14ac:dyDescent="0.3">
      <c r="A752" t="s">
        <v>160</v>
      </c>
      <c r="B752" t="s">
        <v>56</v>
      </c>
      <c r="C752">
        <v>2082</v>
      </c>
      <c r="D752">
        <v>12</v>
      </c>
      <c r="E752">
        <v>9</v>
      </c>
      <c r="F752" t="s">
        <v>61</v>
      </c>
      <c r="G752">
        <v>82110</v>
      </c>
      <c r="H752">
        <v>60</v>
      </c>
      <c r="I752">
        <v>150</v>
      </c>
      <c r="J752">
        <v>107.27</v>
      </c>
      <c r="K752" t="s">
        <v>58</v>
      </c>
      <c r="L752" t="s">
        <v>58</v>
      </c>
      <c r="M752" t="b">
        <v>0</v>
      </c>
      <c r="N752">
        <v>8807939.6999999993</v>
      </c>
      <c r="O752" t="b">
        <f t="shared" si="22"/>
        <v>1</v>
      </c>
      <c r="P752">
        <v>82110</v>
      </c>
      <c r="Q752">
        <f t="shared" si="23"/>
        <v>0</v>
      </c>
      <c r="R752">
        <v>0.165022530751431</v>
      </c>
      <c r="S752">
        <v>7</v>
      </c>
      <c r="T752" t="b">
        <v>0</v>
      </c>
      <c r="U752">
        <v>0</v>
      </c>
      <c r="V752">
        <v>0</v>
      </c>
      <c r="W752">
        <v>0</v>
      </c>
      <c r="X752">
        <v>0</v>
      </c>
      <c r="Y752">
        <v>2875</v>
      </c>
      <c r="Z752">
        <v>0</v>
      </c>
      <c r="AA752">
        <v>0</v>
      </c>
      <c r="AB752">
        <v>2740</v>
      </c>
      <c r="AC752">
        <v>0</v>
      </c>
      <c r="AD752">
        <v>0</v>
      </c>
      <c r="AE752">
        <v>13550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11585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2180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49180</v>
      </c>
      <c r="BA752">
        <v>0</v>
      </c>
      <c r="BB752">
        <v>0</v>
      </c>
      <c r="BC752">
        <v>0</v>
      </c>
      <c r="BD752">
        <v>0</v>
      </c>
    </row>
    <row r="753" spans="1:56" x14ac:dyDescent="0.3">
      <c r="A753" t="s">
        <v>160</v>
      </c>
      <c r="B753" t="s">
        <v>56</v>
      </c>
      <c r="C753">
        <v>2083</v>
      </c>
      <c r="D753">
        <v>1</v>
      </c>
      <c r="E753">
        <v>10</v>
      </c>
      <c r="F753" t="s">
        <v>62</v>
      </c>
      <c r="G753">
        <v>17829</v>
      </c>
      <c r="H753">
        <v>140</v>
      </c>
      <c r="I753">
        <v>160</v>
      </c>
      <c r="J753">
        <v>150</v>
      </c>
      <c r="K753" t="s">
        <v>58</v>
      </c>
      <c r="L753" t="s">
        <v>58</v>
      </c>
      <c r="M753" t="b">
        <v>0</v>
      </c>
      <c r="N753">
        <v>2674350</v>
      </c>
      <c r="O753" t="b">
        <f t="shared" si="22"/>
        <v>1</v>
      </c>
      <c r="P753">
        <v>17829</v>
      </c>
      <c r="Q753">
        <f t="shared" si="23"/>
        <v>0</v>
      </c>
      <c r="R753">
        <v>0</v>
      </c>
      <c r="S753">
        <v>7</v>
      </c>
      <c r="T753" t="b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520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1850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15459</v>
      </c>
      <c r="BA753">
        <v>0</v>
      </c>
      <c r="BB753">
        <v>0</v>
      </c>
      <c r="BC753">
        <v>0</v>
      </c>
      <c r="BD753">
        <v>0</v>
      </c>
    </row>
    <row r="754" spans="1:56" x14ac:dyDescent="0.3">
      <c r="A754" t="s">
        <v>161</v>
      </c>
      <c r="B754" t="s">
        <v>56</v>
      </c>
      <c r="C754">
        <v>2082</v>
      </c>
      <c r="D754">
        <v>6</v>
      </c>
      <c r="E754">
        <v>3</v>
      </c>
      <c r="F754" t="s">
        <v>66</v>
      </c>
      <c r="G754">
        <v>547530</v>
      </c>
      <c r="H754">
        <v>0</v>
      </c>
      <c r="I754">
        <v>0</v>
      </c>
      <c r="J754">
        <v>84.86</v>
      </c>
      <c r="K754" t="s">
        <v>58</v>
      </c>
      <c r="L754" t="s">
        <v>58</v>
      </c>
      <c r="M754" t="b">
        <v>0</v>
      </c>
      <c r="N754">
        <v>46463395.799999997</v>
      </c>
      <c r="O754" t="b">
        <f t="shared" si="22"/>
        <v>1</v>
      </c>
      <c r="P754">
        <v>547530</v>
      </c>
      <c r="Q754">
        <f t="shared" si="23"/>
        <v>0</v>
      </c>
      <c r="R754">
        <v>0.159114569064708</v>
      </c>
      <c r="S754">
        <v>1</v>
      </c>
      <c r="T754" t="b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61920</v>
      </c>
      <c r="AC754">
        <v>520</v>
      </c>
      <c r="AD754">
        <v>10455</v>
      </c>
      <c r="AE754">
        <v>87120</v>
      </c>
      <c r="AF754">
        <v>0</v>
      </c>
      <c r="AG754">
        <v>260526</v>
      </c>
      <c r="AH754">
        <v>0</v>
      </c>
      <c r="AI754">
        <v>0</v>
      </c>
      <c r="AJ754">
        <v>0</v>
      </c>
      <c r="AK754">
        <v>75904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33720</v>
      </c>
      <c r="AR754">
        <v>0</v>
      </c>
      <c r="AS754">
        <v>12045</v>
      </c>
      <c r="AT754">
        <v>4780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540</v>
      </c>
      <c r="BD754">
        <v>0</v>
      </c>
    </row>
    <row r="755" spans="1:56" x14ac:dyDescent="0.3">
      <c r="A755" t="s">
        <v>162</v>
      </c>
      <c r="B755" t="s">
        <v>56</v>
      </c>
      <c r="C755">
        <v>2082</v>
      </c>
      <c r="D755">
        <v>10</v>
      </c>
      <c r="E755">
        <v>7</v>
      </c>
      <c r="F755" t="s">
        <v>59</v>
      </c>
      <c r="G755">
        <v>0</v>
      </c>
      <c r="H755">
        <v>50</v>
      </c>
      <c r="I755">
        <v>110</v>
      </c>
      <c r="J755">
        <v>68.430000000000007</v>
      </c>
      <c r="K755" t="s">
        <v>58</v>
      </c>
      <c r="L755" t="s">
        <v>58</v>
      </c>
      <c r="M755" t="b">
        <v>0</v>
      </c>
      <c r="N755">
        <v>0</v>
      </c>
      <c r="O755" t="b">
        <f t="shared" si="22"/>
        <v>1</v>
      </c>
      <c r="P755">
        <v>0</v>
      </c>
      <c r="Q755">
        <f t="shared" si="23"/>
        <v>0</v>
      </c>
      <c r="S755">
        <v>1</v>
      </c>
      <c r="T755" t="b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</row>
    <row r="756" spans="1:56" x14ac:dyDescent="0.3">
      <c r="A756" t="s">
        <v>162</v>
      </c>
      <c r="B756" t="s">
        <v>56</v>
      </c>
      <c r="C756">
        <v>2082</v>
      </c>
      <c r="D756">
        <v>4</v>
      </c>
      <c r="E756">
        <v>1</v>
      </c>
      <c r="F756" t="s">
        <v>70</v>
      </c>
      <c r="G756">
        <v>0</v>
      </c>
      <c r="H756">
        <v>50</v>
      </c>
      <c r="I756">
        <v>70</v>
      </c>
      <c r="J756">
        <v>59</v>
      </c>
      <c r="K756" t="s">
        <v>58</v>
      </c>
      <c r="L756" t="s">
        <v>58</v>
      </c>
      <c r="M756" t="b">
        <v>0</v>
      </c>
      <c r="N756">
        <v>0</v>
      </c>
      <c r="O756" t="b">
        <f t="shared" si="22"/>
        <v>1</v>
      </c>
      <c r="P756">
        <v>0</v>
      </c>
      <c r="Q756">
        <f t="shared" si="23"/>
        <v>0</v>
      </c>
      <c r="S756">
        <v>6</v>
      </c>
      <c r="T756" t="b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</row>
    <row r="757" spans="1:56" x14ac:dyDescent="0.3">
      <c r="A757" t="s">
        <v>162</v>
      </c>
      <c r="B757" t="s">
        <v>56</v>
      </c>
      <c r="C757">
        <v>2082</v>
      </c>
      <c r="D757">
        <v>6</v>
      </c>
      <c r="E757">
        <v>3</v>
      </c>
      <c r="F757" t="s">
        <v>66</v>
      </c>
      <c r="G757">
        <v>0</v>
      </c>
      <c r="H757">
        <v>65</v>
      </c>
      <c r="I757">
        <v>110</v>
      </c>
      <c r="J757">
        <v>84.06</v>
      </c>
      <c r="K757" t="s">
        <v>58</v>
      </c>
      <c r="L757" t="s">
        <v>58</v>
      </c>
      <c r="M757" t="b">
        <v>0</v>
      </c>
      <c r="N757">
        <v>0</v>
      </c>
      <c r="O757" t="b">
        <f t="shared" si="22"/>
        <v>1</v>
      </c>
      <c r="P757">
        <v>0</v>
      </c>
      <c r="Q757">
        <f t="shared" si="23"/>
        <v>0</v>
      </c>
      <c r="S757">
        <v>6</v>
      </c>
      <c r="T757" t="b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</row>
    <row r="758" spans="1:56" x14ac:dyDescent="0.3">
      <c r="A758" t="s">
        <v>162</v>
      </c>
      <c r="B758" t="s">
        <v>56</v>
      </c>
      <c r="C758">
        <v>2082</v>
      </c>
      <c r="D758">
        <v>7</v>
      </c>
      <c r="E758">
        <v>4</v>
      </c>
      <c r="F758" t="s">
        <v>67</v>
      </c>
      <c r="G758">
        <v>0</v>
      </c>
      <c r="H758">
        <v>50</v>
      </c>
      <c r="I758">
        <v>80</v>
      </c>
      <c r="J758">
        <v>67.63</v>
      </c>
      <c r="K758" t="s">
        <v>58</v>
      </c>
      <c r="L758" t="s">
        <v>58</v>
      </c>
      <c r="M758" t="b">
        <v>0</v>
      </c>
      <c r="N758">
        <v>0</v>
      </c>
      <c r="O758" t="b">
        <f t="shared" si="22"/>
        <v>1</v>
      </c>
      <c r="P758">
        <v>0</v>
      </c>
      <c r="Q758">
        <f t="shared" si="23"/>
        <v>0</v>
      </c>
      <c r="S758">
        <v>6</v>
      </c>
      <c r="T758" t="b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</row>
    <row r="759" spans="1:56" x14ac:dyDescent="0.3">
      <c r="A759" t="s">
        <v>162</v>
      </c>
      <c r="B759" t="s">
        <v>56</v>
      </c>
      <c r="C759">
        <v>2082</v>
      </c>
      <c r="D759">
        <v>11</v>
      </c>
      <c r="E759">
        <v>8</v>
      </c>
      <c r="F759" t="s">
        <v>60</v>
      </c>
      <c r="G759">
        <v>0</v>
      </c>
      <c r="H759">
        <v>60</v>
      </c>
      <c r="I759">
        <v>70</v>
      </c>
      <c r="J759">
        <v>65</v>
      </c>
      <c r="K759" t="s">
        <v>58</v>
      </c>
      <c r="L759" t="s">
        <v>58</v>
      </c>
      <c r="M759" t="b">
        <v>0</v>
      </c>
      <c r="N759">
        <v>0</v>
      </c>
      <c r="O759" t="b">
        <f t="shared" si="22"/>
        <v>1</v>
      </c>
      <c r="P759">
        <v>0</v>
      </c>
      <c r="Q759">
        <f t="shared" si="23"/>
        <v>0</v>
      </c>
      <c r="S759">
        <v>6</v>
      </c>
      <c r="T759" t="b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</row>
    <row r="760" spans="1:56" x14ac:dyDescent="0.3">
      <c r="A760" t="s">
        <v>162</v>
      </c>
      <c r="B760" t="s">
        <v>56</v>
      </c>
      <c r="C760">
        <v>2082</v>
      </c>
      <c r="D760">
        <v>12</v>
      </c>
      <c r="E760">
        <v>9</v>
      </c>
      <c r="F760" t="s">
        <v>61</v>
      </c>
      <c r="G760">
        <v>0</v>
      </c>
      <c r="H760">
        <v>60</v>
      </c>
      <c r="I760">
        <v>100</v>
      </c>
      <c r="J760">
        <v>75.680000000000007</v>
      </c>
      <c r="K760" t="s">
        <v>58</v>
      </c>
      <c r="L760" t="s">
        <v>58</v>
      </c>
      <c r="M760" t="b">
        <v>0</v>
      </c>
      <c r="N760">
        <v>0</v>
      </c>
      <c r="O760" t="b">
        <f t="shared" si="22"/>
        <v>1</v>
      </c>
      <c r="P760">
        <v>0</v>
      </c>
      <c r="Q760">
        <f t="shared" si="23"/>
        <v>0</v>
      </c>
      <c r="S760">
        <v>6</v>
      </c>
      <c r="T760" t="b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</row>
    <row r="761" spans="1:56" x14ac:dyDescent="0.3">
      <c r="A761" t="s">
        <v>162</v>
      </c>
      <c r="B761" t="s">
        <v>56</v>
      </c>
      <c r="C761">
        <v>2083</v>
      </c>
      <c r="D761">
        <v>1</v>
      </c>
      <c r="E761">
        <v>10</v>
      </c>
      <c r="F761" t="s">
        <v>62</v>
      </c>
      <c r="G761">
        <v>0</v>
      </c>
      <c r="H761">
        <v>60</v>
      </c>
      <c r="I761">
        <v>80</v>
      </c>
      <c r="J761">
        <v>68.7</v>
      </c>
      <c r="K761" t="s">
        <v>58</v>
      </c>
      <c r="L761" t="s">
        <v>58</v>
      </c>
      <c r="M761" t="b">
        <v>0</v>
      </c>
      <c r="N761">
        <v>0</v>
      </c>
      <c r="O761" t="b">
        <f t="shared" si="22"/>
        <v>1</v>
      </c>
      <c r="P761">
        <v>0</v>
      </c>
      <c r="Q761">
        <f t="shared" si="23"/>
        <v>0</v>
      </c>
      <c r="S761">
        <v>6</v>
      </c>
      <c r="T761" t="b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</row>
    <row r="762" spans="1:56" x14ac:dyDescent="0.3">
      <c r="A762" t="s">
        <v>163</v>
      </c>
      <c r="B762" t="s">
        <v>56</v>
      </c>
      <c r="C762">
        <v>2082</v>
      </c>
      <c r="D762">
        <v>4</v>
      </c>
      <c r="E762">
        <v>1</v>
      </c>
      <c r="F762" t="s">
        <v>70</v>
      </c>
      <c r="G762">
        <v>1027751</v>
      </c>
      <c r="H762">
        <v>35</v>
      </c>
      <c r="I762">
        <v>65</v>
      </c>
      <c r="J762">
        <v>50.82</v>
      </c>
      <c r="K762" t="s">
        <v>58</v>
      </c>
      <c r="L762" t="s">
        <v>58</v>
      </c>
      <c r="M762" t="b">
        <v>0</v>
      </c>
      <c r="N762">
        <v>52230305.82</v>
      </c>
      <c r="O762" t="b">
        <f t="shared" si="22"/>
        <v>1</v>
      </c>
      <c r="P762">
        <v>1027751</v>
      </c>
      <c r="Q762">
        <f t="shared" si="23"/>
        <v>0</v>
      </c>
      <c r="R762">
        <v>5.7489605945408903E-2</v>
      </c>
      <c r="S762">
        <v>10</v>
      </c>
      <c r="T762" t="b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68450</v>
      </c>
      <c r="AC762">
        <v>0</v>
      </c>
      <c r="AD762">
        <v>0</v>
      </c>
      <c r="AE762">
        <v>59085</v>
      </c>
      <c r="AF762">
        <v>0</v>
      </c>
      <c r="AG762">
        <v>822011</v>
      </c>
      <c r="AH762">
        <v>0</v>
      </c>
      <c r="AI762">
        <v>0</v>
      </c>
      <c r="AJ762">
        <v>0</v>
      </c>
      <c r="AK762">
        <v>21480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23240</v>
      </c>
      <c r="AR762">
        <v>0</v>
      </c>
      <c r="AS762">
        <v>33485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</row>
    <row r="763" spans="1:56" x14ac:dyDescent="0.3">
      <c r="A763" t="s">
        <v>163</v>
      </c>
      <c r="B763" t="s">
        <v>56</v>
      </c>
      <c r="C763">
        <v>2082</v>
      </c>
      <c r="D763">
        <v>5</v>
      </c>
      <c r="E763">
        <v>2</v>
      </c>
      <c r="F763" t="s">
        <v>65</v>
      </c>
      <c r="G763">
        <v>677920</v>
      </c>
      <c r="H763">
        <v>34</v>
      </c>
      <c r="I763">
        <v>104</v>
      </c>
      <c r="J763">
        <v>69.650000000000006</v>
      </c>
      <c r="K763" t="s">
        <v>58</v>
      </c>
      <c r="L763" t="s">
        <v>58</v>
      </c>
      <c r="M763" t="b">
        <v>0</v>
      </c>
      <c r="N763">
        <v>47217128</v>
      </c>
      <c r="O763" t="b">
        <f t="shared" si="22"/>
        <v>1</v>
      </c>
      <c r="P763">
        <v>677920</v>
      </c>
      <c r="Q763">
        <f t="shared" si="23"/>
        <v>0</v>
      </c>
      <c r="R763">
        <v>2.8218668869483099E-2</v>
      </c>
      <c r="S763">
        <v>10</v>
      </c>
      <c r="T763" t="b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22199</v>
      </c>
      <c r="AC763">
        <v>540</v>
      </c>
      <c r="AD763">
        <v>3380</v>
      </c>
      <c r="AE763">
        <v>19130</v>
      </c>
      <c r="AF763">
        <v>0</v>
      </c>
      <c r="AG763">
        <v>477986</v>
      </c>
      <c r="AH763">
        <v>0</v>
      </c>
      <c r="AI763">
        <v>0</v>
      </c>
      <c r="AJ763">
        <v>0</v>
      </c>
      <c r="AK763">
        <v>80573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22092</v>
      </c>
      <c r="AR763">
        <v>0</v>
      </c>
      <c r="AS763">
        <v>41570</v>
      </c>
      <c r="AT763">
        <v>7230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3220</v>
      </c>
      <c r="BD763">
        <v>0</v>
      </c>
    </row>
    <row r="764" spans="1:56" x14ac:dyDescent="0.3">
      <c r="A764" t="s">
        <v>163</v>
      </c>
      <c r="B764" t="s">
        <v>56</v>
      </c>
      <c r="C764">
        <v>2082</v>
      </c>
      <c r="D764">
        <v>6</v>
      </c>
      <c r="E764">
        <v>3</v>
      </c>
      <c r="F764" t="s">
        <v>66</v>
      </c>
      <c r="G764">
        <v>0</v>
      </c>
      <c r="H764">
        <v>57</v>
      </c>
      <c r="I764">
        <v>113</v>
      </c>
      <c r="J764">
        <v>83.18</v>
      </c>
      <c r="K764" t="s">
        <v>58</v>
      </c>
      <c r="L764" t="s">
        <v>58</v>
      </c>
      <c r="M764" t="b">
        <v>0</v>
      </c>
      <c r="N764">
        <v>0</v>
      </c>
      <c r="O764" t="b">
        <f t="shared" si="22"/>
        <v>1</v>
      </c>
      <c r="P764">
        <v>0</v>
      </c>
      <c r="Q764">
        <f t="shared" si="23"/>
        <v>0</v>
      </c>
      <c r="S764">
        <v>10</v>
      </c>
      <c r="T764" t="b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</row>
    <row r="765" spans="1:56" x14ac:dyDescent="0.3">
      <c r="A765" t="s">
        <v>163</v>
      </c>
      <c r="B765" t="s">
        <v>56</v>
      </c>
      <c r="C765">
        <v>2082</v>
      </c>
      <c r="D765">
        <v>7</v>
      </c>
      <c r="E765">
        <v>4</v>
      </c>
      <c r="F765" t="s">
        <v>67</v>
      </c>
      <c r="G765">
        <v>600823</v>
      </c>
      <c r="H765">
        <v>35</v>
      </c>
      <c r="I765">
        <v>96</v>
      </c>
      <c r="J765">
        <v>61.97</v>
      </c>
      <c r="K765" t="s">
        <v>58</v>
      </c>
      <c r="L765" t="s">
        <v>58</v>
      </c>
      <c r="M765" t="b">
        <v>0</v>
      </c>
      <c r="N765">
        <v>37233001.310000002</v>
      </c>
      <c r="O765" t="b">
        <f t="shared" si="22"/>
        <v>1</v>
      </c>
      <c r="P765">
        <v>600823</v>
      </c>
      <c r="Q765">
        <f t="shared" si="23"/>
        <v>0</v>
      </c>
      <c r="R765">
        <v>0.18091850678153101</v>
      </c>
      <c r="S765">
        <v>10</v>
      </c>
      <c r="T765" t="b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232862</v>
      </c>
      <c r="AC765">
        <v>2230</v>
      </c>
      <c r="AD765">
        <v>0</v>
      </c>
      <c r="AE765">
        <v>108700</v>
      </c>
      <c r="AF765">
        <v>0</v>
      </c>
      <c r="AG765">
        <v>28456</v>
      </c>
      <c r="AH765">
        <v>0</v>
      </c>
      <c r="AI765">
        <v>0</v>
      </c>
      <c r="AJ765">
        <v>0</v>
      </c>
      <c r="AK765">
        <v>97315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113740</v>
      </c>
      <c r="AR765">
        <v>0</v>
      </c>
      <c r="AS765">
        <v>8770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8750</v>
      </c>
    </row>
    <row r="766" spans="1:56" x14ac:dyDescent="0.3">
      <c r="A766" t="s">
        <v>163</v>
      </c>
      <c r="B766" t="s">
        <v>56</v>
      </c>
      <c r="C766">
        <v>2082</v>
      </c>
      <c r="D766">
        <v>8</v>
      </c>
      <c r="E766">
        <v>5</v>
      </c>
      <c r="F766" t="s">
        <v>68</v>
      </c>
      <c r="G766">
        <v>701200</v>
      </c>
      <c r="H766">
        <v>57</v>
      </c>
      <c r="I766">
        <v>122</v>
      </c>
      <c r="J766">
        <v>91.55</v>
      </c>
      <c r="K766" t="s">
        <v>58</v>
      </c>
      <c r="L766" t="s">
        <v>58</v>
      </c>
      <c r="M766" t="b">
        <v>0</v>
      </c>
      <c r="N766">
        <v>64194860</v>
      </c>
      <c r="O766" t="b">
        <f t="shared" si="22"/>
        <v>1</v>
      </c>
      <c r="P766">
        <v>701200</v>
      </c>
      <c r="Q766">
        <f t="shared" si="23"/>
        <v>0</v>
      </c>
      <c r="R766">
        <v>0.28709355390758701</v>
      </c>
      <c r="S766">
        <v>10</v>
      </c>
      <c r="T766" t="b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217120</v>
      </c>
      <c r="AC766">
        <v>3785</v>
      </c>
      <c r="AD766">
        <v>2480</v>
      </c>
      <c r="AE766">
        <v>201310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71715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177730</v>
      </c>
      <c r="AR766">
        <v>21100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5960</v>
      </c>
      <c r="BD766">
        <v>0</v>
      </c>
    </row>
    <row r="767" spans="1:56" x14ac:dyDescent="0.3">
      <c r="A767" t="s">
        <v>163</v>
      </c>
      <c r="B767" t="s">
        <v>56</v>
      </c>
      <c r="C767">
        <v>2082</v>
      </c>
      <c r="D767">
        <v>9</v>
      </c>
      <c r="E767">
        <v>6</v>
      </c>
      <c r="F767" t="s">
        <v>57</v>
      </c>
      <c r="G767">
        <v>972510</v>
      </c>
      <c r="H767">
        <v>70</v>
      </c>
      <c r="I767">
        <v>130</v>
      </c>
      <c r="J767">
        <v>98.36</v>
      </c>
      <c r="K767" t="s">
        <v>58</v>
      </c>
      <c r="L767" t="s">
        <v>58</v>
      </c>
      <c r="M767" t="b">
        <v>0</v>
      </c>
      <c r="N767">
        <v>95656083.599999994</v>
      </c>
      <c r="O767" t="b">
        <f t="shared" si="22"/>
        <v>0</v>
      </c>
      <c r="P767">
        <v>972525</v>
      </c>
      <c r="Q767">
        <f t="shared" si="23"/>
        <v>15</v>
      </c>
      <c r="R767">
        <v>0.49172000719775799</v>
      </c>
      <c r="S767">
        <v>10</v>
      </c>
      <c r="T767" t="b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40265</v>
      </c>
      <c r="AB767">
        <v>106665</v>
      </c>
      <c r="AC767">
        <v>4790</v>
      </c>
      <c r="AD767">
        <v>0</v>
      </c>
      <c r="AE767">
        <v>478210</v>
      </c>
      <c r="AF767">
        <v>0</v>
      </c>
      <c r="AG767">
        <v>15</v>
      </c>
      <c r="AH767">
        <v>0</v>
      </c>
      <c r="AI767">
        <v>0</v>
      </c>
      <c r="AJ767">
        <v>0</v>
      </c>
      <c r="AK767">
        <v>82860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247390</v>
      </c>
      <c r="AR767">
        <v>0</v>
      </c>
      <c r="AS767">
        <v>3390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8940</v>
      </c>
      <c r="BD767">
        <v>0</v>
      </c>
    </row>
    <row r="768" spans="1:56" x14ac:dyDescent="0.3">
      <c r="A768" t="s">
        <v>163</v>
      </c>
      <c r="B768" t="s">
        <v>56</v>
      </c>
      <c r="C768">
        <v>2082</v>
      </c>
      <c r="D768">
        <v>10</v>
      </c>
      <c r="E768">
        <v>7</v>
      </c>
      <c r="F768" t="s">
        <v>59</v>
      </c>
      <c r="G768">
        <v>731003</v>
      </c>
      <c r="H768">
        <v>35</v>
      </c>
      <c r="I768">
        <v>104</v>
      </c>
      <c r="J768">
        <v>54.01</v>
      </c>
      <c r="K768" t="s">
        <v>58</v>
      </c>
      <c r="L768" t="s">
        <v>58</v>
      </c>
      <c r="M768" t="b">
        <v>0</v>
      </c>
      <c r="N768">
        <v>39481472.030000001</v>
      </c>
      <c r="O768" t="b">
        <f t="shared" si="22"/>
        <v>1</v>
      </c>
      <c r="P768">
        <v>731003</v>
      </c>
      <c r="Q768">
        <f t="shared" si="23"/>
        <v>0</v>
      </c>
      <c r="R768">
        <v>0.35685900057865699</v>
      </c>
      <c r="S768">
        <v>10</v>
      </c>
      <c r="T768" t="b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26650</v>
      </c>
      <c r="AB768">
        <v>36780</v>
      </c>
      <c r="AC768">
        <v>1590</v>
      </c>
      <c r="AD768">
        <v>0</v>
      </c>
      <c r="AE768">
        <v>260865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43415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361703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</row>
    <row r="769" spans="1:56" x14ac:dyDescent="0.3">
      <c r="A769" t="s">
        <v>163</v>
      </c>
      <c r="B769" t="s">
        <v>56</v>
      </c>
      <c r="C769">
        <v>2082</v>
      </c>
      <c r="D769">
        <v>11</v>
      </c>
      <c r="E769">
        <v>8</v>
      </c>
      <c r="F769" t="s">
        <v>60</v>
      </c>
      <c r="G769">
        <v>470206</v>
      </c>
      <c r="H769">
        <v>35</v>
      </c>
      <c r="I769">
        <v>78</v>
      </c>
      <c r="J769">
        <v>51.14</v>
      </c>
      <c r="K769" t="s">
        <v>58</v>
      </c>
      <c r="L769" t="s">
        <v>58</v>
      </c>
      <c r="M769" t="b">
        <v>0</v>
      </c>
      <c r="N769">
        <v>24046334.84</v>
      </c>
      <c r="O769" t="b">
        <f t="shared" si="22"/>
        <v>1</v>
      </c>
      <c r="P769">
        <v>470206</v>
      </c>
      <c r="Q769">
        <f t="shared" si="23"/>
        <v>0</v>
      </c>
      <c r="R769">
        <v>0.20751542940753601</v>
      </c>
      <c r="S769">
        <v>10</v>
      </c>
      <c r="T769" t="b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16280</v>
      </c>
      <c r="AB769">
        <v>8640</v>
      </c>
      <c r="AC769">
        <v>520</v>
      </c>
      <c r="AD769">
        <v>1140</v>
      </c>
      <c r="AE769">
        <v>97575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63606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282445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</row>
    <row r="770" spans="1:56" x14ac:dyDescent="0.3">
      <c r="A770" t="s">
        <v>163</v>
      </c>
      <c r="B770" t="s">
        <v>56</v>
      </c>
      <c r="C770">
        <v>2082</v>
      </c>
      <c r="D770">
        <v>12</v>
      </c>
      <c r="E770">
        <v>9</v>
      </c>
      <c r="F770" t="s">
        <v>61</v>
      </c>
      <c r="G770">
        <v>738431</v>
      </c>
      <c r="H770">
        <v>26</v>
      </c>
      <c r="I770">
        <v>130</v>
      </c>
      <c r="J770">
        <v>68.5</v>
      </c>
      <c r="K770" t="s">
        <v>58</v>
      </c>
      <c r="L770" t="s">
        <v>58</v>
      </c>
      <c r="M770" t="b">
        <v>0</v>
      </c>
      <c r="N770">
        <v>50582523.5</v>
      </c>
      <c r="O770" t="b">
        <f t="shared" ref="O770:O833" si="24">IF(P770=G770,TRUE,FALSE)</f>
        <v>1</v>
      </c>
      <c r="P770">
        <v>738431</v>
      </c>
      <c r="Q770">
        <f t="shared" si="23"/>
        <v>0</v>
      </c>
      <c r="R770">
        <v>0.47629365506052601</v>
      </c>
      <c r="S770">
        <v>10</v>
      </c>
      <c r="T770" t="b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15110</v>
      </c>
      <c r="AB770">
        <v>22800</v>
      </c>
      <c r="AC770">
        <v>0</v>
      </c>
      <c r="AD770">
        <v>0</v>
      </c>
      <c r="AE770">
        <v>351710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36245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278001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34565</v>
      </c>
      <c r="BA770">
        <v>0</v>
      </c>
      <c r="BB770">
        <v>0</v>
      </c>
      <c r="BC770">
        <v>0</v>
      </c>
      <c r="BD770">
        <v>0</v>
      </c>
    </row>
    <row r="771" spans="1:56" x14ac:dyDescent="0.3">
      <c r="A771" t="s">
        <v>163</v>
      </c>
      <c r="B771" t="s">
        <v>56</v>
      </c>
      <c r="C771">
        <v>2083</v>
      </c>
      <c r="D771">
        <v>1</v>
      </c>
      <c r="E771">
        <v>10</v>
      </c>
      <c r="F771" t="s">
        <v>62</v>
      </c>
      <c r="G771">
        <v>679300</v>
      </c>
      <c r="H771">
        <v>26</v>
      </c>
      <c r="I771">
        <v>117</v>
      </c>
      <c r="J771">
        <v>69.39</v>
      </c>
      <c r="K771" t="s">
        <v>58</v>
      </c>
      <c r="L771" t="s">
        <v>58</v>
      </c>
      <c r="M771" t="b">
        <v>0</v>
      </c>
      <c r="N771">
        <v>47136627</v>
      </c>
      <c r="O771" t="b">
        <f t="shared" si="24"/>
        <v>1</v>
      </c>
      <c r="P771">
        <v>679300</v>
      </c>
      <c r="Q771">
        <f t="shared" si="23"/>
        <v>0</v>
      </c>
      <c r="R771">
        <v>0.234196967466509</v>
      </c>
      <c r="S771">
        <v>10</v>
      </c>
      <c r="T771" t="b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35760</v>
      </c>
      <c r="AB771">
        <v>44615</v>
      </c>
      <c r="AC771">
        <v>2370</v>
      </c>
      <c r="AD771">
        <v>0</v>
      </c>
      <c r="AE771">
        <v>159090</v>
      </c>
      <c r="AF771">
        <v>0</v>
      </c>
      <c r="AG771">
        <v>47136</v>
      </c>
      <c r="AH771">
        <v>0</v>
      </c>
      <c r="AI771">
        <v>0</v>
      </c>
      <c r="AJ771">
        <v>0</v>
      </c>
      <c r="AK771">
        <v>24685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268807</v>
      </c>
      <c r="AR771">
        <v>72015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24822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</row>
    <row r="772" spans="1:56" x14ac:dyDescent="0.3">
      <c r="A772" t="s">
        <v>164</v>
      </c>
      <c r="B772" t="s">
        <v>56</v>
      </c>
      <c r="C772">
        <v>2082</v>
      </c>
      <c r="D772">
        <v>4</v>
      </c>
      <c r="E772">
        <v>1</v>
      </c>
      <c r="F772" t="s">
        <v>70</v>
      </c>
      <c r="G772">
        <v>0</v>
      </c>
      <c r="H772">
        <v>100</v>
      </c>
      <c r="I772">
        <v>120</v>
      </c>
      <c r="J772">
        <v>110</v>
      </c>
      <c r="K772" t="s">
        <v>58</v>
      </c>
      <c r="L772" t="s">
        <v>58</v>
      </c>
      <c r="M772" t="b">
        <v>0</v>
      </c>
      <c r="N772">
        <v>0</v>
      </c>
      <c r="O772" t="b">
        <f t="shared" si="24"/>
        <v>1</v>
      </c>
      <c r="P772">
        <v>0</v>
      </c>
      <c r="Q772">
        <f t="shared" si="23"/>
        <v>0</v>
      </c>
      <c r="S772">
        <v>9</v>
      </c>
      <c r="T772" t="b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</row>
    <row r="773" spans="1:56" x14ac:dyDescent="0.3">
      <c r="A773" t="s">
        <v>164</v>
      </c>
      <c r="B773" t="s">
        <v>56</v>
      </c>
      <c r="C773">
        <v>2082</v>
      </c>
      <c r="D773">
        <v>6</v>
      </c>
      <c r="E773">
        <v>3</v>
      </c>
      <c r="F773" t="s">
        <v>66</v>
      </c>
      <c r="G773">
        <v>120</v>
      </c>
      <c r="H773">
        <v>100</v>
      </c>
      <c r="I773">
        <v>120</v>
      </c>
      <c r="J773">
        <v>110</v>
      </c>
      <c r="K773" t="s">
        <v>58</v>
      </c>
      <c r="L773" t="s">
        <v>58</v>
      </c>
      <c r="M773" t="b">
        <v>0</v>
      </c>
      <c r="N773">
        <v>13200</v>
      </c>
      <c r="O773" t="b">
        <f t="shared" si="24"/>
        <v>1</v>
      </c>
      <c r="P773">
        <v>120</v>
      </c>
      <c r="Q773">
        <f t="shared" si="23"/>
        <v>0</v>
      </c>
      <c r="R773">
        <v>0</v>
      </c>
      <c r="S773">
        <v>9</v>
      </c>
      <c r="T773" t="b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120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</row>
    <row r="774" spans="1:56" x14ac:dyDescent="0.3">
      <c r="A774" t="s">
        <v>164</v>
      </c>
      <c r="B774" t="s">
        <v>56</v>
      </c>
      <c r="C774">
        <v>2082</v>
      </c>
      <c r="D774">
        <v>7</v>
      </c>
      <c r="E774">
        <v>4</v>
      </c>
      <c r="F774" t="s">
        <v>67</v>
      </c>
      <c r="G774">
        <v>710</v>
      </c>
      <c r="H774">
        <v>100</v>
      </c>
      <c r="I774">
        <v>120</v>
      </c>
      <c r="J774">
        <v>110</v>
      </c>
      <c r="K774" t="s">
        <v>58</v>
      </c>
      <c r="L774" t="s">
        <v>58</v>
      </c>
      <c r="M774" t="b">
        <v>0</v>
      </c>
      <c r="N774">
        <v>78100</v>
      </c>
      <c r="O774" t="b">
        <f t="shared" si="24"/>
        <v>1</v>
      </c>
      <c r="P774">
        <v>710</v>
      </c>
      <c r="Q774">
        <f t="shared" si="23"/>
        <v>0</v>
      </c>
      <c r="R774">
        <v>0</v>
      </c>
      <c r="S774">
        <v>9</v>
      </c>
      <c r="T774" t="b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240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340</v>
      </c>
      <c r="AH774">
        <v>0</v>
      </c>
      <c r="AI774">
        <v>0</v>
      </c>
      <c r="AJ774">
        <v>0</v>
      </c>
      <c r="AK774">
        <v>130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</row>
    <row r="775" spans="1:56" x14ac:dyDescent="0.3">
      <c r="A775" t="s">
        <v>164</v>
      </c>
      <c r="B775" t="s">
        <v>56</v>
      </c>
      <c r="C775">
        <v>2082</v>
      </c>
      <c r="D775">
        <v>8</v>
      </c>
      <c r="E775">
        <v>5</v>
      </c>
      <c r="F775" t="s">
        <v>68</v>
      </c>
      <c r="G775">
        <v>130</v>
      </c>
      <c r="H775">
        <v>100</v>
      </c>
      <c r="I775">
        <v>120</v>
      </c>
      <c r="J775">
        <v>110</v>
      </c>
      <c r="K775" t="s">
        <v>58</v>
      </c>
      <c r="L775" t="s">
        <v>58</v>
      </c>
      <c r="M775" t="b">
        <v>0</v>
      </c>
      <c r="N775">
        <v>14300</v>
      </c>
      <c r="O775" t="b">
        <f t="shared" si="24"/>
        <v>1</v>
      </c>
      <c r="P775">
        <v>130</v>
      </c>
      <c r="Q775">
        <f t="shared" si="23"/>
        <v>0</v>
      </c>
      <c r="R775">
        <v>0</v>
      </c>
      <c r="S775">
        <v>9</v>
      </c>
      <c r="T775" t="b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130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</row>
    <row r="776" spans="1:56" x14ac:dyDescent="0.3">
      <c r="A776" t="s">
        <v>164</v>
      </c>
      <c r="B776" t="s">
        <v>56</v>
      </c>
      <c r="C776">
        <v>2082</v>
      </c>
      <c r="D776">
        <v>9</v>
      </c>
      <c r="E776">
        <v>6</v>
      </c>
      <c r="F776" t="s">
        <v>57</v>
      </c>
      <c r="G776">
        <v>980</v>
      </c>
      <c r="H776">
        <v>100</v>
      </c>
      <c r="I776">
        <v>120</v>
      </c>
      <c r="J776">
        <v>110</v>
      </c>
      <c r="K776" t="s">
        <v>58</v>
      </c>
      <c r="L776" t="s">
        <v>58</v>
      </c>
      <c r="M776" t="b">
        <v>0</v>
      </c>
      <c r="N776">
        <v>107800</v>
      </c>
      <c r="O776" t="b">
        <f t="shared" si="24"/>
        <v>1</v>
      </c>
      <c r="P776">
        <v>980</v>
      </c>
      <c r="Q776">
        <f t="shared" si="23"/>
        <v>0</v>
      </c>
      <c r="R776">
        <v>0</v>
      </c>
      <c r="S776">
        <v>9</v>
      </c>
      <c r="T776" t="b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580</v>
      </c>
      <c r="AH776">
        <v>0</v>
      </c>
      <c r="AI776">
        <v>0</v>
      </c>
      <c r="AJ776">
        <v>0</v>
      </c>
      <c r="AK776">
        <v>190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210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</row>
    <row r="777" spans="1:56" x14ac:dyDescent="0.3">
      <c r="A777" t="s">
        <v>164</v>
      </c>
      <c r="B777" t="s">
        <v>56</v>
      </c>
      <c r="C777">
        <v>2082</v>
      </c>
      <c r="D777">
        <v>10</v>
      </c>
      <c r="E777">
        <v>7</v>
      </c>
      <c r="F777" t="s">
        <v>59</v>
      </c>
      <c r="G777">
        <v>536</v>
      </c>
      <c r="H777">
        <v>100</v>
      </c>
      <c r="I777">
        <v>120</v>
      </c>
      <c r="J777">
        <v>110</v>
      </c>
      <c r="K777" t="s">
        <v>58</v>
      </c>
      <c r="L777" t="s">
        <v>58</v>
      </c>
      <c r="M777" t="b">
        <v>0</v>
      </c>
      <c r="N777">
        <v>58960</v>
      </c>
      <c r="O777" t="b">
        <f t="shared" si="24"/>
        <v>1</v>
      </c>
      <c r="P777">
        <v>536</v>
      </c>
      <c r="Q777">
        <f t="shared" si="23"/>
        <v>0</v>
      </c>
      <c r="R777">
        <v>0</v>
      </c>
      <c r="S777">
        <v>9</v>
      </c>
      <c r="T777" t="b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185</v>
      </c>
      <c r="AH777">
        <v>0</v>
      </c>
      <c r="AI777">
        <v>0</v>
      </c>
      <c r="AJ777">
        <v>0</v>
      </c>
      <c r="AK777">
        <v>351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</row>
    <row r="778" spans="1:56" x14ac:dyDescent="0.3">
      <c r="A778" t="s">
        <v>164</v>
      </c>
      <c r="B778" t="s">
        <v>56</v>
      </c>
      <c r="C778">
        <v>2082</v>
      </c>
      <c r="D778">
        <v>11</v>
      </c>
      <c r="E778">
        <v>8</v>
      </c>
      <c r="F778" t="s">
        <v>60</v>
      </c>
      <c r="G778">
        <v>345</v>
      </c>
      <c r="H778">
        <v>100</v>
      </c>
      <c r="I778">
        <v>120</v>
      </c>
      <c r="J778">
        <v>110</v>
      </c>
      <c r="K778" t="s">
        <v>58</v>
      </c>
      <c r="L778" t="s">
        <v>58</v>
      </c>
      <c r="M778" t="b">
        <v>0</v>
      </c>
      <c r="N778">
        <v>37950</v>
      </c>
      <c r="O778" t="b">
        <f t="shared" si="24"/>
        <v>1</v>
      </c>
      <c r="P778">
        <v>345</v>
      </c>
      <c r="Q778">
        <f t="shared" si="23"/>
        <v>0</v>
      </c>
      <c r="R778">
        <v>0</v>
      </c>
      <c r="S778">
        <v>9</v>
      </c>
      <c r="T778" t="b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295</v>
      </c>
      <c r="AH778">
        <v>0</v>
      </c>
      <c r="AI778">
        <v>0</v>
      </c>
      <c r="AJ778">
        <v>0</v>
      </c>
      <c r="AK778">
        <v>50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</row>
    <row r="779" spans="1:56" x14ac:dyDescent="0.3">
      <c r="A779" t="s">
        <v>164</v>
      </c>
      <c r="B779" t="s">
        <v>56</v>
      </c>
      <c r="C779">
        <v>2082</v>
      </c>
      <c r="D779">
        <v>12</v>
      </c>
      <c r="E779">
        <v>9</v>
      </c>
      <c r="F779" t="s">
        <v>61</v>
      </c>
      <c r="G779">
        <v>25</v>
      </c>
      <c r="H779">
        <v>100</v>
      </c>
      <c r="I779">
        <v>120</v>
      </c>
      <c r="J779">
        <v>110</v>
      </c>
      <c r="K779" t="s">
        <v>58</v>
      </c>
      <c r="L779" t="s">
        <v>58</v>
      </c>
      <c r="M779" t="b">
        <v>0</v>
      </c>
      <c r="N779">
        <v>2750</v>
      </c>
      <c r="O779" t="b">
        <f t="shared" si="24"/>
        <v>1</v>
      </c>
      <c r="P779">
        <v>25</v>
      </c>
      <c r="Q779">
        <f t="shared" si="23"/>
        <v>0</v>
      </c>
      <c r="R779">
        <v>0</v>
      </c>
      <c r="S779">
        <v>9</v>
      </c>
      <c r="T779" t="b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25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</row>
    <row r="780" spans="1:56" x14ac:dyDescent="0.3">
      <c r="A780" t="s">
        <v>164</v>
      </c>
      <c r="B780" t="s">
        <v>56</v>
      </c>
      <c r="C780">
        <v>2083</v>
      </c>
      <c r="D780">
        <v>1</v>
      </c>
      <c r="E780">
        <v>10</v>
      </c>
      <c r="F780" t="s">
        <v>62</v>
      </c>
      <c r="G780">
        <v>0</v>
      </c>
      <c r="H780">
        <v>100</v>
      </c>
      <c r="I780">
        <v>120</v>
      </c>
      <c r="J780">
        <v>110</v>
      </c>
      <c r="K780" t="s">
        <v>58</v>
      </c>
      <c r="L780" t="s">
        <v>58</v>
      </c>
      <c r="M780" t="b">
        <v>0</v>
      </c>
      <c r="N780">
        <v>0</v>
      </c>
      <c r="O780" t="b">
        <f t="shared" si="24"/>
        <v>1</v>
      </c>
      <c r="P780">
        <v>0</v>
      </c>
      <c r="Q780">
        <f t="shared" si="23"/>
        <v>0</v>
      </c>
      <c r="S780">
        <v>9</v>
      </c>
      <c r="T780" t="b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</row>
    <row r="781" spans="1:56" x14ac:dyDescent="0.3">
      <c r="A781" t="s">
        <v>165</v>
      </c>
      <c r="B781" t="s">
        <v>64</v>
      </c>
      <c r="C781">
        <v>2082</v>
      </c>
      <c r="D781">
        <v>6</v>
      </c>
      <c r="E781">
        <v>3</v>
      </c>
      <c r="F781" t="s">
        <v>66</v>
      </c>
      <c r="G781">
        <v>1660</v>
      </c>
      <c r="H781">
        <v>0</v>
      </c>
      <c r="I781">
        <v>0</v>
      </c>
      <c r="J781">
        <v>450</v>
      </c>
      <c r="K781" t="s">
        <v>58</v>
      </c>
      <c r="L781" t="s">
        <v>58</v>
      </c>
      <c r="M781" t="b">
        <v>0</v>
      </c>
      <c r="N781">
        <v>747000</v>
      </c>
      <c r="O781" t="b">
        <f t="shared" si="24"/>
        <v>1</v>
      </c>
      <c r="P781">
        <v>1660</v>
      </c>
      <c r="Q781">
        <f t="shared" si="23"/>
        <v>0</v>
      </c>
      <c r="R781">
        <v>1</v>
      </c>
      <c r="S781">
        <v>1</v>
      </c>
      <c r="T781" t="b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1660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</row>
    <row r="782" spans="1:56" x14ac:dyDescent="0.3">
      <c r="A782" t="s">
        <v>166</v>
      </c>
      <c r="B782" t="s">
        <v>64</v>
      </c>
      <c r="C782">
        <v>2082</v>
      </c>
      <c r="D782">
        <v>4</v>
      </c>
      <c r="E782">
        <v>1</v>
      </c>
      <c r="F782" t="s">
        <v>70</v>
      </c>
      <c r="G782">
        <v>394825</v>
      </c>
      <c r="H782">
        <v>60</v>
      </c>
      <c r="I782">
        <v>80</v>
      </c>
      <c r="J782">
        <v>73</v>
      </c>
      <c r="K782" t="s">
        <v>58</v>
      </c>
      <c r="L782" t="s">
        <v>58</v>
      </c>
      <c r="M782" t="b">
        <v>0</v>
      </c>
      <c r="N782">
        <v>28822225</v>
      </c>
      <c r="O782" t="b">
        <f t="shared" si="24"/>
        <v>1</v>
      </c>
      <c r="P782">
        <v>394825</v>
      </c>
      <c r="Q782">
        <f t="shared" ref="Q782:Q845" si="25">ABS(P782-G782)</f>
        <v>0</v>
      </c>
      <c r="R782">
        <v>1</v>
      </c>
      <c r="S782">
        <v>10</v>
      </c>
      <c r="T782" t="b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394825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</row>
    <row r="783" spans="1:56" x14ac:dyDescent="0.3">
      <c r="A783" t="s">
        <v>166</v>
      </c>
      <c r="B783" t="s">
        <v>64</v>
      </c>
      <c r="C783">
        <v>2082</v>
      </c>
      <c r="D783">
        <v>5</v>
      </c>
      <c r="E783">
        <v>2</v>
      </c>
      <c r="F783" t="s">
        <v>65</v>
      </c>
      <c r="G783">
        <v>85305</v>
      </c>
      <c r="H783">
        <v>30</v>
      </c>
      <c r="I783">
        <v>80</v>
      </c>
      <c r="J783">
        <v>58.47</v>
      </c>
      <c r="K783" t="s">
        <v>58</v>
      </c>
      <c r="L783" t="s">
        <v>58</v>
      </c>
      <c r="M783" t="b">
        <v>0</v>
      </c>
      <c r="N783">
        <v>4987783.3499999996</v>
      </c>
      <c r="O783" t="b">
        <f t="shared" si="24"/>
        <v>1</v>
      </c>
      <c r="P783">
        <v>85305</v>
      </c>
      <c r="Q783">
        <f t="shared" si="25"/>
        <v>0</v>
      </c>
      <c r="R783">
        <v>1</v>
      </c>
      <c r="S783">
        <v>10</v>
      </c>
      <c r="T783" t="b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85305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</row>
    <row r="784" spans="1:56" x14ac:dyDescent="0.3">
      <c r="A784" t="s">
        <v>166</v>
      </c>
      <c r="B784" t="s">
        <v>64</v>
      </c>
      <c r="C784">
        <v>2082</v>
      </c>
      <c r="D784">
        <v>6</v>
      </c>
      <c r="E784">
        <v>3</v>
      </c>
      <c r="F784" t="s">
        <v>66</v>
      </c>
      <c r="G784">
        <v>65720</v>
      </c>
      <c r="H784">
        <v>70</v>
      </c>
      <c r="I784">
        <v>80</v>
      </c>
      <c r="J784">
        <v>75</v>
      </c>
      <c r="K784" t="s">
        <v>58</v>
      </c>
      <c r="L784" t="s">
        <v>58</v>
      </c>
      <c r="M784" t="b">
        <v>0</v>
      </c>
      <c r="N784">
        <v>4929000</v>
      </c>
      <c r="O784" t="b">
        <f t="shared" si="24"/>
        <v>1</v>
      </c>
      <c r="P784">
        <v>65720</v>
      </c>
      <c r="Q784">
        <f t="shared" si="25"/>
        <v>0</v>
      </c>
      <c r="R784">
        <v>1</v>
      </c>
      <c r="S784">
        <v>10</v>
      </c>
      <c r="T784" t="b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65720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</row>
    <row r="785" spans="1:56" x14ac:dyDescent="0.3">
      <c r="A785" t="s">
        <v>166</v>
      </c>
      <c r="B785" t="s">
        <v>64</v>
      </c>
      <c r="C785">
        <v>2082</v>
      </c>
      <c r="D785">
        <v>7</v>
      </c>
      <c r="E785">
        <v>4</v>
      </c>
      <c r="F785" t="s">
        <v>67</v>
      </c>
      <c r="G785">
        <v>61420</v>
      </c>
      <c r="H785">
        <v>60</v>
      </c>
      <c r="I785">
        <v>80</v>
      </c>
      <c r="J785">
        <v>72.37</v>
      </c>
      <c r="K785" t="s">
        <v>58</v>
      </c>
      <c r="L785" t="s">
        <v>58</v>
      </c>
      <c r="M785" t="b">
        <v>0</v>
      </c>
      <c r="N785">
        <v>4444965.4000000004</v>
      </c>
      <c r="O785" t="b">
        <f t="shared" si="24"/>
        <v>1</v>
      </c>
      <c r="P785">
        <v>61420</v>
      </c>
      <c r="Q785">
        <f t="shared" si="25"/>
        <v>0</v>
      </c>
      <c r="R785">
        <v>1</v>
      </c>
      <c r="S785">
        <v>10</v>
      </c>
      <c r="T785" t="b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61420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</row>
    <row r="786" spans="1:56" x14ac:dyDescent="0.3">
      <c r="A786" t="s">
        <v>166</v>
      </c>
      <c r="B786" t="s">
        <v>64</v>
      </c>
      <c r="C786">
        <v>2082</v>
      </c>
      <c r="D786">
        <v>8</v>
      </c>
      <c r="E786">
        <v>5</v>
      </c>
      <c r="F786" t="s">
        <v>68</v>
      </c>
      <c r="G786">
        <v>116630</v>
      </c>
      <c r="H786">
        <v>60</v>
      </c>
      <c r="I786">
        <v>80</v>
      </c>
      <c r="J786">
        <v>67.11</v>
      </c>
      <c r="K786" t="s">
        <v>58</v>
      </c>
      <c r="L786" t="s">
        <v>58</v>
      </c>
      <c r="M786" t="b">
        <v>0</v>
      </c>
      <c r="N786">
        <v>7827039.2999999998</v>
      </c>
      <c r="O786" t="b">
        <f t="shared" si="24"/>
        <v>1</v>
      </c>
      <c r="P786">
        <v>116630</v>
      </c>
      <c r="Q786">
        <f t="shared" si="25"/>
        <v>0</v>
      </c>
      <c r="R786">
        <v>1</v>
      </c>
      <c r="S786">
        <v>10</v>
      </c>
      <c r="T786" t="b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116630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</row>
    <row r="787" spans="1:56" x14ac:dyDescent="0.3">
      <c r="A787" t="s">
        <v>166</v>
      </c>
      <c r="B787" t="s">
        <v>64</v>
      </c>
      <c r="C787">
        <v>2082</v>
      </c>
      <c r="D787">
        <v>9</v>
      </c>
      <c r="E787">
        <v>6</v>
      </c>
      <c r="F787" t="s">
        <v>57</v>
      </c>
      <c r="G787">
        <v>138690</v>
      </c>
      <c r="H787">
        <v>70</v>
      </c>
      <c r="I787">
        <v>80</v>
      </c>
      <c r="J787">
        <v>75</v>
      </c>
      <c r="K787" t="s">
        <v>58</v>
      </c>
      <c r="L787" t="s">
        <v>58</v>
      </c>
      <c r="M787" t="b">
        <v>0</v>
      </c>
      <c r="N787">
        <v>10401750</v>
      </c>
      <c r="O787" t="b">
        <f t="shared" si="24"/>
        <v>1</v>
      </c>
      <c r="P787">
        <v>138690</v>
      </c>
      <c r="Q787">
        <f t="shared" si="25"/>
        <v>0</v>
      </c>
      <c r="R787">
        <v>1</v>
      </c>
      <c r="S787">
        <v>10</v>
      </c>
      <c r="T787" t="b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138690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</row>
    <row r="788" spans="1:56" x14ac:dyDescent="0.3">
      <c r="A788" t="s">
        <v>166</v>
      </c>
      <c r="B788" t="s">
        <v>64</v>
      </c>
      <c r="C788">
        <v>2082</v>
      </c>
      <c r="D788">
        <v>10</v>
      </c>
      <c r="E788">
        <v>7</v>
      </c>
      <c r="F788" t="s">
        <v>59</v>
      </c>
      <c r="G788">
        <v>106775</v>
      </c>
      <c r="H788">
        <v>70</v>
      </c>
      <c r="I788">
        <v>80</v>
      </c>
      <c r="J788">
        <v>75</v>
      </c>
      <c r="K788" t="s">
        <v>58</v>
      </c>
      <c r="L788" t="s">
        <v>58</v>
      </c>
      <c r="M788" t="b">
        <v>0</v>
      </c>
      <c r="N788">
        <v>8008125</v>
      </c>
      <c r="O788" t="b">
        <f t="shared" si="24"/>
        <v>1</v>
      </c>
      <c r="P788">
        <v>106775</v>
      </c>
      <c r="Q788">
        <f t="shared" si="25"/>
        <v>0</v>
      </c>
      <c r="R788">
        <v>1</v>
      </c>
      <c r="S788">
        <v>10</v>
      </c>
      <c r="T788" t="b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106775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</row>
    <row r="789" spans="1:56" x14ac:dyDescent="0.3">
      <c r="A789" t="s">
        <v>166</v>
      </c>
      <c r="B789" t="s">
        <v>64</v>
      </c>
      <c r="C789">
        <v>2082</v>
      </c>
      <c r="D789">
        <v>11</v>
      </c>
      <c r="E789">
        <v>8</v>
      </c>
      <c r="F789" t="s">
        <v>60</v>
      </c>
      <c r="G789">
        <v>185185</v>
      </c>
      <c r="H789">
        <v>70</v>
      </c>
      <c r="I789">
        <v>80</v>
      </c>
      <c r="J789">
        <v>75</v>
      </c>
      <c r="K789" t="s">
        <v>58</v>
      </c>
      <c r="L789" t="s">
        <v>58</v>
      </c>
      <c r="M789" t="b">
        <v>0</v>
      </c>
      <c r="N789">
        <v>13888875</v>
      </c>
      <c r="O789" t="b">
        <f t="shared" si="24"/>
        <v>1</v>
      </c>
      <c r="P789">
        <v>185185</v>
      </c>
      <c r="Q789">
        <f t="shared" si="25"/>
        <v>0</v>
      </c>
      <c r="R789">
        <v>1</v>
      </c>
      <c r="S789">
        <v>10</v>
      </c>
      <c r="T789" t="b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185185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</row>
    <row r="790" spans="1:56" x14ac:dyDescent="0.3">
      <c r="A790" t="s">
        <v>166</v>
      </c>
      <c r="B790" t="s">
        <v>64</v>
      </c>
      <c r="C790">
        <v>2082</v>
      </c>
      <c r="D790">
        <v>12</v>
      </c>
      <c r="E790">
        <v>9</v>
      </c>
      <c r="F790" t="s">
        <v>61</v>
      </c>
      <c r="G790">
        <v>570310</v>
      </c>
      <c r="H790">
        <v>40</v>
      </c>
      <c r="I790">
        <v>80</v>
      </c>
      <c r="J790">
        <v>53.18</v>
      </c>
      <c r="K790" t="s">
        <v>58</v>
      </c>
      <c r="L790" t="s">
        <v>58</v>
      </c>
      <c r="M790" t="b">
        <v>0</v>
      </c>
      <c r="N790">
        <v>30329085.800000001</v>
      </c>
      <c r="O790" t="b">
        <f t="shared" si="24"/>
        <v>1</v>
      </c>
      <c r="P790">
        <v>570310</v>
      </c>
      <c r="Q790">
        <f t="shared" si="25"/>
        <v>0</v>
      </c>
      <c r="R790">
        <v>1</v>
      </c>
      <c r="S790">
        <v>10</v>
      </c>
      <c r="T790" t="b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570310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</row>
    <row r="791" spans="1:56" x14ac:dyDescent="0.3">
      <c r="A791" t="s">
        <v>166</v>
      </c>
      <c r="B791" t="s">
        <v>64</v>
      </c>
      <c r="C791">
        <v>2083</v>
      </c>
      <c r="D791">
        <v>1</v>
      </c>
      <c r="E791">
        <v>10</v>
      </c>
      <c r="F791" t="s">
        <v>62</v>
      </c>
      <c r="G791">
        <v>1757370</v>
      </c>
      <c r="H791">
        <v>35</v>
      </c>
      <c r="I791">
        <v>50</v>
      </c>
      <c r="J791">
        <v>41.63</v>
      </c>
      <c r="K791" t="s">
        <v>58</v>
      </c>
      <c r="L791" t="s">
        <v>58</v>
      </c>
      <c r="M791" t="b">
        <v>0</v>
      </c>
      <c r="N791">
        <v>73159313.099999994</v>
      </c>
      <c r="O791" t="b">
        <f t="shared" si="24"/>
        <v>1</v>
      </c>
      <c r="P791">
        <v>1757370</v>
      </c>
      <c r="Q791">
        <f t="shared" si="25"/>
        <v>0</v>
      </c>
      <c r="R791">
        <v>0.72574358274011697</v>
      </c>
      <c r="S791">
        <v>10</v>
      </c>
      <c r="T791" t="b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1275400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1005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320</v>
      </c>
      <c r="AR791">
        <v>44315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436330</v>
      </c>
      <c r="BC791">
        <v>0</v>
      </c>
      <c r="BD791">
        <v>0</v>
      </c>
    </row>
    <row r="792" spans="1:56" x14ac:dyDescent="0.3">
      <c r="A792" t="s">
        <v>167</v>
      </c>
      <c r="B792" t="s">
        <v>56</v>
      </c>
      <c r="C792">
        <v>2082</v>
      </c>
      <c r="D792">
        <v>6</v>
      </c>
      <c r="E792">
        <v>3</v>
      </c>
      <c r="F792" t="s">
        <v>66</v>
      </c>
      <c r="G792">
        <v>5760</v>
      </c>
      <c r="H792">
        <v>0</v>
      </c>
      <c r="I792">
        <v>0</v>
      </c>
      <c r="J792">
        <v>121.5</v>
      </c>
      <c r="K792" t="s">
        <v>58</v>
      </c>
      <c r="L792" t="s">
        <v>58</v>
      </c>
      <c r="M792" t="b">
        <v>0</v>
      </c>
      <c r="N792">
        <v>699840</v>
      </c>
      <c r="O792" t="b">
        <f t="shared" si="24"/>
        <v>1</v>
      </c>
      <c r="P792">
        <v>5760</v>
      </c>
      <c r="Q792">
        <f t="shared" si="25"/>
        <v>0</v>
      </c>
      <c r="R792">
        <v>0</v>
      </c>
      <c r="S792">
        <v>8</v>
      </c>
      <c r="T792" t="b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610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4190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960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</row>
    <row r="793" spans="1:56" x14ac:dyDescent="0.3">
      <c r="A793" t="s">
        <v>167</v>
      </c>
      <c r="B793" t="s">
        <v>56</v>
      </c>
      <c r="C793">
        <v>2082</v>
      </c>
      <c r="D793">
        <v>7</v>
      </c>
      <c r="E793">
        <v>4</v>
      </c>
      <c r="F793" t="s">
        <v>67</v>
      </c>
      <c r="G793">
        <v>26007</v>
      </c>
      <c r="J793">
        <v>120.5</v>
      </c>
      <c r="K793" t="s">
        <v>58</v>
      </c>
      <c r="L793" t="s">
        <v>58</v>
      </c>
      <c r="M793" t="b">
        <v>0</v>
      </c>
      <c r="N793">
        <v>3133843.5</v>
      </c>
      <c r="O793" t="b">
        <f t="shared" si="24"/>
        <v>1</v>
      </c>
      <c r="P793">
        <v>26007</v>
      </c>
      <c r="Q793">
        <f t="shared" si="25"/>
        <v>0</v>
      </c>
      <c r="R793">
        <v>0</v>
      </c>
      <c r="S793">
        <v>8</v>
      </c>
      <c r="T793" t="b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1280</v>
      </c>
      <c r="AC793">
        <v>1350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18685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4582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110</v>
      </c>
    </row>
    <row r="794" spans="1:56" x14ac:dyDescent="0.3">
      <c r="A794" t="s">
        <v>167</v>
      </c>
      <c r="B794" t="s">
        <v>56</v>
      </c>
      <c r="C794">
        <v>2082</v>
      </c>
      <c r="D794">
        <v>8</v>
      </c>
      <c r="E794">
        <v>5</v>
      </c>
      <c r="F794" t="s">
        <v>68</v>
      </c>
      <c r="G794">
        <v>61695</v>
      </c>
      <c r="H794">
        <v>0</v>
      </c>
      <c r="I794">
        <v>0</v>
      </c>
      <c r="J794">
        <v>135</v>
      </c>
      <c r="K794" t="s">
        <v>58</v>
      </c>
      <c r="L794" t="s">
        <v>58</v>
      </c>
      <c r="M794" t="b">
        <v>0</v>
      </c>
      <c r="N794">
        <v>8328825</v>
      </c>
      <c r="O794" t="b">
        <f t="shared" si="24"/>
        <v>1</v>
      </c>
      <c r="P794">
        <v>61695</v>
      </c>
      <c r="Q794">
        <f t="shared" si="25"/>
        <v>0</v>
      </c>
      <c r="R794">
        <v>0</v>
      </c>
      <c r="S794">
        <v>8</v>
      </c>
      <c r="T794" t="b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3720</v>
      </c>
      <c r="AC794">
        <v>2680</v>
      </c>
      <c r="AD794">
        <v>470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31320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15135</v>
      </c>
      <c r="AR794">
        <v>7160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640</v>
      </c>
      <c r="BA794">
        <v>0</v>
      </c>
      <c r="BB794">
        <v>0</v>
      </c>
      <c r="BC794">
        <v>0</v>
      </c>
      <c r="BD794">
        <v>570</v>
      </c>
    </row>
    <row r="795" spans="1:56" x14ac:dyDescent="0.3">
      <c r="A795" t="s">
        <v>167</v>
      </c>
      <c r="B795" t="s">
        <v>56</v>
      </c>
      <c r="C795">
        <v>2082</v>
      </c>
      <c r="D795">
        <v>9</v>
      </c>
      <c r="E795">
        <v>6</v>
      </c>
      <c r="F795" t="s">
        <v>57</v>
      </c>
      <c r="G795">
        <v>271255</v>
      </c>
      <c r="H795">
        <v>0</v>
      </c>
      <c r="I795">
        <v>0</v>
      </c>
      <c r="J795">
        <v>115.66</v>
      </c>
      <c r="K795" t="s">
        <v>58</v>
      </c>
      <c r="L795" t="s">
        <v>58</v>
      </c>
      <c r="M795" t="b">
        <v>0</v>
      </c>
      <c r="N795">
        <v>31373353.300000001</v>
      </c>
      <c r="O795" t="b">
        <f t="shared" si="24"/>
        <v>1</v>
      </c>
      <c r="P795">
        <v>271255</v>
      </c>
      <c r="Q795">
        <f t="shared" si="25"/>
        <v>0</v>
      </c>
      <c r="R795">
        <v>6.2634790142117203E-2</v>
      </c>
      <c r="S795">
        <v>8</v>
      </c>
      <c r="T795" t="b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2260</v>
      </c>
      <c r="AB795">
        <v>19390</v>
      </c>
      <c r="AC795">
        <v>30925</v>
      </c>
      <c r="AD795">
        <v>12665</v>
      </c>
      <c r="AE795">
        <v>16990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48595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50280</v>
      </c>
      <c r="AR795">
        <v>26390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50190</v>
      </c>
      <c r="BA795">
        <v>0</v>
      </c>
      <c r="BB795">
        <v>3540</v>
      </c>
      <c r="BC795">
        <v>0</v>
      </c>
      <c r="BD795">
        <v>10030</v>
      </c>
    </row>
    <row r="796" spans="1:56" x14ac:dyDescent="0.3">
      <c r="A796" t="s">
        <v>167</v>
      </c>
      <c r="B796" t="s">
        <v>56</v>
      </c>
      <c r="C796">
        <v>2082</v>
      </c>
      <c r="D796">
        <v>10</v>
      </c>
      <c r="E796">
        <v>7</v>
      </c>
      <c r="F796" t="s">
        <v>59</v>
      </c>
      <c r="G796">
        <v>36650</v>
      </c>
      <c r="H796">
        <v>0</v>
      </c>
      <c r="I796">
        <v>0</v>
      </c>
      <c r="J796">
        <v>115</v>
      </c>
      <c r="K796" t="s">
        <v>58</v>
      </c>
      <c r="L796" t="s">
        <v>58</v>
      </c>
      <c r="M796" t="b">
        <v>0</v>
      </c>
      <c r="N796">
        <v>4214750</v>
      </c>
      <c r="O796" t="b">
        <f t="shared" si="24"/>
        <v>1</v>
      </c>
      <c r="P796">
        <v>36650</v>
      </c>
      <c r="Q796">
        <f t="shared" si="25"/>
        <v>0</v>
      </c>
      <c r="R796">
        <v>9.1405184174624801E-2</v>
      </c>
      <c r="S796">
        <v>8</v>
      </c>
      <c r="T796" t="b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2560</v>
      </c>
      <c r="AD796">
        <v>0</v>
      </c>
      <c r="AE796">
        <v>3350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27910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2510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320</v>
      </c>
    </row>
    <row r="797" spans="1:56" x14ac:dyDescent="0.3">
      <c r="A797" t="s">
        <v>167</v>
      </c>
      <c r="B797" t="s">
        <v>56</v>
      </c>
      <c r="C797">
        <v>2082</v>
      </c>
      <c r="D797">
        <v>11</v>
      </c>
      <c r="E797">
        <v>8</v>
      </c>
      <c r="F797" t="s">
        <v>60</v>
      </c>
      <c r="G797">
        <v>18820</v>
      </c>
      <c r="H797">
        <v>0</v>
      </c>
      <c r="I797">
        <v>0</v>
      </c>
      <c r="J797">
        <v>145</v>
      </c>
      <c r="K797" t="s">
        <v>58</v>
      </c>
      <c r="L797" t="s">
        <v>58</v>
      </c>
      <c r="M797" t="b">
        <v>0</v>
      </c>
      <c r="N797">
        <v>2728900</v>
      </c>
      <c r="O797" t="b">
        <f t="shared" si="24"/>
        <v>1</v>
      </c>
      <c r="P797">
        <v>18820</v>
      </c>
      <c r="Q797">
        <f t="shared" si="25"/>
        <v>0</v>
      </c>
      <c r="R797">
        <v>0</v>
      </c>
      <c r="S797">
        <v>8</v>
      </c>
      <c r="T797" t="b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2250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14230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2340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</row>
    <row r="798" spans="1:56" x14ac:dyDescent="0.3">
      <c r="A798" t="s">
        <v>167</v>
      </c>
      <c r="B798" t="s">
        <v>56</v>
      </c>
      <c r="C798">
        <v>2082</v>
      </c>
      <c r="D798">
        <v>12</v>
      </c>
      <c r="E798">
        <v>9</v>
      </c>
      <c r="F798" t="s">
        <v>61</v>
      </c>
      <c r="G798">
        <v>28310</v>
      </c>
      <c r="H798">
        <v>100</v>
      </c>
      <c r="I798">
        <v>120</v>
      </c>
      <c r="J798">
        <v>110</v>
      </c>
      <c r="K798" t="s">
        <v>58</v>
      </c>
      <c r="L798" t="s">
        <v>58</v>
      </c>
      <c r="M798" t="b">
        <v>0</v>
      </c>
      <c r="N798">
        <v>3114100</v>
      </c>
      <c r="O798" t="b">
        <f t="shared" si="24"/>
        <v>1</v>
      </c>
      <c r="P798">
        <v>28310</v>
      </c>
      <c r="Q798">
        <f t="shared" si="25"/>
        <v>0</v>
      </c>
      <c r="R798">
        <v>0</v>
      </c>
      <c r="S798">
        <v>8</v>
      </c>
      <c r="T798" t="b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880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20620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3940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2870</v>
      </c>
    </row>
    <row r="799" spans="1:56" x14ac:dyDescent="0.3">
      <c r="A799" t="s">
        <v>167</v>
      </c>
      <c r="B799" t="s">
        <v>56</v>
      </c>
      <c r="C799">
        <v>2083</v>
      </c>
      <c r="D799">
        <v>1</v>
      </c>
      <c r="E799">
        <v>10</v>
      </c>
      <c r="F799" t="s">
        <v>62</v>
      </c>
      <c r="G799">
        <v>1625</v>
      </c>
      <c r="H799">
        <v>100</v>
      </c>
      <c r="I799">
        <v>120</v>
      </c>
      <c r="J799">
        <v>110</v>
      </c>
      <c r="K799" t="s">
        <v>58</v>
      </c>
      <c r="L799" t="s">
        <v>58</v>
      </c>
      <c r="M799" t="b">
        <v>0</v>
      </c>
      <c r="N799">
        <v>178750</v>
      </c>
      <c r="O799" t="b">
        <f t="shared" si="24"/>
        <v>1</v>
      </c>
      <c r="P799">
        <v>1625</v>
      </c>
      <c r="Q799">
        <f t="shared" si="25"/>
        <v>0</v>
      </c>
      <c r="R799">
        <v>0</v>
      </c>
      <c r="S799">
        <v>8</v>
      </c>
      <c r="T799" t="b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1625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</row>
  </sheetData>
  <conditionalFormatting sqref="O2:O799">
    <cfRule type="containsText" dxfId="1" priority="2" operator="containsText" text="False">
      <formula>NOT(ISERROR(SEARCH("False",O2)))</formula>
    </cfRule>
  </conditionalFormatting>
  <conditionalFormatting sqref="O245:O799">
    <cfRule type="containsText" dxfId="0" priority="3" operator="containsText" text="FALSE">
      <formula>NOT(ISERROR(SEARCH("FALSE",O245)))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all_months_clean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Poudel</dc:creator>
  <cp:lastModifiedBy>Kamal Poudel</cp:lastModifiedBy>
  <dcterms:created xsi:type="dcterms:W3CDTF">2026-07-19T07:12:37Z</dcterms:created>
  <dcterms:modified xsi:type="dcterms:W3CDTF">2026-07-24T08:07:56Z</dcterms:modified>
</cp:coreProperties>
</file>